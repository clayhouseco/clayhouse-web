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d07520fb6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dades SEO" sheetId="1" r:id="R9ffe05cd17514716"/>
    <x:sheet xmlns:r="http://schemas.openxmlformats.org/officeDocument/2006/relationships" name="Consultas GSC" sheetId="2" r:id="R963e95f119bd421e"/>
    <x:sheet xmlns:r="http://schemas.openxmlformats.org/officeDocument/2006/relationships" name="Páginas GSC" sheetId="3" r:id="Rb3ea532baba4491c"/>
    <x:sheet xmlns:r="http://schemas.openxmlformats.org/officeDocument/2006/relationships" name="Tendencia diaria" sheetId="4" r:id="Rde3e062bde27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yyyy-mm-dd"/>
  </x:numFmts>
  <x:fonts count="7">
    <x:font>
      <x:sz val="11"/>
      <x:name val="Carlito"/>
    </x:font>
    <x:font>
      <x:sz val="10"/>
      <x:color rgb="FF2F211A"/>
      <x:name val="Arial"/>
    </x:font>
    <x:font>
      <x:b/>
      <x:sz val="10"/>
      <x:color rgb="FFFFFFFF"/>
      <x:name val="Arial"/>
    </x:font>
    <x:font>
      <x:b/>
      <x:sz val="10"/>
      <x:color rgb="FF472410"/>
      <x:name val="Arial"/>
    </x:font>
    <x:font>
      <x:b/>
      <x:sz val="16"/>
      <x:color rgb="FF472410"/>
      <x:name val="Arial"/>
    </x:font>
    <x:font>
      <x:i/>
      <x:sz val="10"/>
      <x:color rgb="FF6D5A50"/>
      <x:name val="Arial"/>
    </x:font>
    <x:font>
      <x:b/>
      <x:sz val="14"/>
      <x:color rgb="FF7C482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72410"/>
      </x:patternFill>
    </x:fill>
    <x:fill>
      <x:patternFill patternType="solid">
        <x:fgColor rgb="FFF3E7E0"/>
      </x:patternFill>
    </x:fill>
    <x:fill>
      <x:patternFill patternType="solid">
        <x:fgColor rgb="FFFFFBF9"/>
      </x:patternFill>
    </x:fill>
    <x:fill>
      <x:patternFill patternType="solid">
        <x:fgColor rgb="FFFFF1C7"/>
      </x:patternFill>
    </x:fill>
  </x:fills>
  <x:borders count="8">
    <x:border>
      <x:left/>
      <x:right/>
      <x:top/>
      <x:bottom/>
      <x:diagonal/>
    </x:border>
    <x:border>
      <x:left style="thin">
        <x:color rgb="FF472410"/>
      </x:left>
      <x:right/>
      <x:top style="thin">
        <x:color rgb="FF472410"/>
      </x:top>
      <x:bottom style="thin">
        <x:color rgb="FF472410"/>
      </x:bottom>
      <x:diagonal/>
    </x:border>
    <x:border>
      <x:left/>
      <x:right/>
      <x:top style="thin">
        <x:color rgb="FF472410"/>
      </x:top>
      <x:bottom style="thin">
        <x:color rgb="FF472410"/>
      </x:bottom>
      <x:diagonal/>
    </x:border>
    <x:border>
      <x:left/>
      <x:right style="thin">
        <x:color rgb="FF472410"/>
      </x:right>
      <x:top style="thin">
        <x:color rgb="FF472410"/>
      </x:top>
      <x:bottom style="thin">
        <x:color rgb="FF472410"/>
      </x:bottom>
      <x:diagonal/>
    </x:border>
    <x:border>
      <x:left/>
      <x:right/>
      <x:top/>
      <x:bottom style="medium">
        <x:color rgb="FF7C482C"/>
      </x:bottom>
      <x:diagonal/>
    </x:border>
    <x:border>
      <x:left style="thin">
        <x:color rgb="FFD9C7BC"/>
      </x:left>
      <x:right/>
      <x:top style="thin">
        <x:color rgb="FFD9C7BC"/>
      </x:top>
      <x:bottom style="thin">
        <x:color rgb="FFD9C7BC"/>
      </x:bottom>
      <x:diagonal/>
    </x:border>
    <x:border>
      <x:left/>
      <x:right/>
      <x:top style="thin">
        <x:color rgb="FFD9C7BC"/>
      </x:top>
      <x:bottom style="thin">
        <x:color rgb="FFD9C7BC"/>
      </x:bottom>
      <x:diagonal/>
    </x:border>
    <x:border>
      <x:left/>
      <x:right style="thin">
        <x:color rgb="FFD9C7BC"/>
      </x:right>
      <x:top style="thin">
        <x:color rgb="FFD9C7BC"/>
      </x:top>
      <x:bottom style="thin">
        <x:color rgb="FFD9C7BC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4" xfId="0" applyNumberFormat="1" applyFont="1" applyFill="1" applyBorder="1"/>
    <x:xf numFmtId="0" fontId="4" fillId="0" borderId="4" xfId="0" applyNumberFormat="1" applyFont="1" applyFill="1" applyBorder="1"/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200" fontId="6" fillId="4" borderId="5" xfId="0" applyNumberFormat="1" applyFont="1" applyFill="1" applyBorder="1"/>
    <x:xf numFmtId="200" fontId="6" fillId="4" borderId="6" xfId="0" applyNumberFormat="1" applyFont="1" applyFill="1" applyBorder="1"/>
    <x:xf numFmtId="201" fontId="6" fillId="4" borderId="6" xfId="0" applyNumberFormat="1" applyFont="1" applyFill="1" applyBorder="1"/>
    <x:xf numFmtId="202" fontId="6" fillId="4" borderId="7" xfId="0" applyNumberFormat="1" applyFont="1" applyFill="1" applyBorder="1"/>
    <x:xf numFmtId="200" fontId="6" fillId="4" borderId="5" xfId="0" applyNumberFormat="1" applyFont="1" applyFill="1" applyBorder="1" applyAlignment="1">
      <x:alignment horizontal="center"/>
    </x:xf>
    <x:xf numFmtId="200" fontId="6" fillId="4" borderId="6" xfId="0" applyNumberFormat="1" applyFont="1" applyFill="1" applyBorder="1" applyAlignment="1">
      <x:alignment horizontal="center"/>
    </x:xf>
    <x:xf numFmtId="201" fontId="6" fillId="4" borderId="6" xfId="0" applyNumberFormat="1" applyFont="1" applyFill="1" applyBorder="1" applyAlignment="1">
      <x:alignment horizontal="center"/>
    </x:xf>
    <x:xf numFmtId="202" fontId="6" fillId="4" borderId="7" xfId="0" applyNumberFormat="1" applyFont="1" applyFill="1" applyBorder="1" applyAlignment="1">
      <x:alignment horizontal="center"/>
    </x:xf>
    <x:xf numFmtId="200" fontId="6" fillId="4" borderId="5" xfId="0" applyNumberFormat="1" applyFont="1" applyFill="1" applyBorder="1" applyAlignment="1">
      <x:alignment horizontal="center" vertical="center"/>
    </x:xf>
    <x:xf numFmtId="200" fontId="6" fillId="4" borderId="6" xfId="0" applyNumberFormat="1" applyFont="1" applyFill="1" applyBorder="1" applyAlignment="1">
      <x:alignment horizontal="center" vertical="center"/>
    </x:xf>
    <x:xf numFmtId="201" fontId="6" fillId="4" borderId="6" xfId="0" applyNumberFormat="1" applyFont="1" applyFill="1" applyBorder="1" applyAlignment="1">
      <x:alignment horizontal="center" vertical="center"/>
    </x:xf>
    <x:xf numFmtId="202" fontId="6" fillId="4" borderId="7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472410"/>
      </x:font>
      <x:fill>
        <x:patternFill patternType="solid">
          <x:bgColor rgb="FFFFF1C7"/>
        </x:patternFill>
      </x:fill>
    </x:dxf>
    <x:dxf>
      <x:font>
        <x:color rgb="FF8A2424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3fd17a2414db7" /><Relationship Type="http://schemas.openxmlformats.org/officeDocument/2006/relationships/theme" Target="/xl/theme/theme1.xml" Id="Re2493c90803e4014" /><Relationship Type="http://schemas.openxmlformats.org/officeDocument/2006/relationships/sharedStrings" Target="/xl/sharedStrings.xml" Id="Rf2e1bcaf02114221" /><Relationship Type="http://schemas.openxmlformats.org/officeDocument/2006/relationships/worksheet" Target="/xl/worksheets/sheet1.xml" Id="R9ffe05cd17514716" /><Relationship Type="http://schemas.openxmlformats.org/officeDocument/2006/relationships/worksheet" Target="/xl/worksheets/sheet2.xml" Id="R963e95f119bd421e" /><Relationship Type="http://schemas.openxmlformats.org/officeDocument/2006/relationships/worksheet" Target="/xl/worksheets/sheet3.xml" Id="Rb3ea532baba4491c" /><Relationship Type="http://schemas.openxmlformats.org/officeDocument/2006/relationships/worksheet" Target="/xl/worksheets/sheet4.xml" Id="Rde3e062bde274f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3d0462a4e847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Clics orgánicos diarios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Clics</c:v>
          </c:tx>
          <c:marker>
            <c:symbol val="none"/>
          </c:marker>
          <c:cat>
            <c:strRef>
              <c:f>'Tendencia diaria'!$G$2:$G$93</c:f>
              <c:strCache>
                <c:ptCount val="0"/>
              </c:strCache>
            </c:strRef>
          </c:cat>
          <c:val>
            <c:numRef>
              <c:f>'Tendencia diaria'!$H$2:$H$93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7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3d0462a4e847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PrioridadesSEO" displayName="PrioridadesSEO" ref="A9:I34" headerRowCount="1" totalsRowCount="0" totalsRowShown="0">
  <x:tableColumns count="9">
    <x:tableColumn id="1" name="Consulta"/>
    <x:tableColumn id="2" name="Clics"/>
    <x:tableColumn id="3" name="Impresiones"/>
    <x:tableColumn id="4" name="CTR"/>
    <x:tableColumn id="5" name="Posición"/>
    <x:tableColumn id="6" name="Situación"/>
    <x:tableColumn id="7" name="Página objetivo"/>
    <x:tableColumn id="8" name="Próxima acción"/>
    <x:tableColumn id="9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nsultasGSC" displayName="ConsultasGSC" ref="A1:E533" headerRowCount="1" totalsRowCount="0" totalsRowShown="0">
  <x:tableColumns count="5">
    <x:tableColumn id="1" name="Consultas principales"/>
    <x:tableColumn id="2" name="Clics"/>
    <x:tableColumn id="3" name="Impresiones"/>
    <x:tableColumn id="4" name="CTR"/>
    <x:tableColumn id="5" name="Posi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aginasGSC" displayName="PaginasGSC" ref="A1:E71" headerRowCount="1" totalsRowCount="0" totalsRowShown="0">
  <x:tableColumns count="5">
    <x:tableColumn id="1" name="Páginas principales"/>
    <x:tableColumn id="2" name="Clics"/>
    <x:tableColumn id="3" name="Impresiones"/>
    <x:tableColumn id="4" name="CTR"/>
    <x:tableColumn id="5" name="Posi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endenciaGSC" displayName="TendenciaGSC" ref="A1:E93" headerRowCount="1" totalsRowCount="0" totalsRowShown="0">
  <x:tableColumns count="5">
    <x:tableColumn id="1" name="Fecha"/>
    <x:tableColumn id="2" name="Clics"/>
    <x:tableColumn id="3" name="Impresiones"/>
    <x:tableColumn id="4" name="CTR"/>
    <x:tableColumn id="5" name="Posi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2b27c9e77a470b" /><Relationship Type="http://schemas.openxmlformats.org/officeDocument/2006/relationships/table" Target="/xl/tables/table1.xml" Id="Rb8f1184dc6f040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cfe8e7c0c94c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bc606ab61147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e4569212d24864" /></Relationships>
</file>

<file path=xl/worksheets/sheet1.xml><?xml version="1.0" encoding="utf-8"?>
<x:worksheet xmlns:x="http://schemas.openxmlformats.org/spreadsheetml/2006/main">
  <x:sheetPr>
    <x:tabColor rgb="FF47241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31" hidden="0" customWidth="1"/>
    <x:col min="7" max="7" width="38" hidden="0" customWidth="1"/>
    <x:col min="8" max="8" width="46" hidden="0" customWidth="1"/>
    <x:col min="9" max="9" width="15" hidden="0" customWidth="1"/>
  </x:cols>
  <x:sheetData>
    <x:row r="2">
      <x:c r="A2" s="19" t="str">
        <x:v>Prioridades SEO de Clay House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20" t="str">
        <x:v>Fuente: Google Search Console, búsqueda web, últimos 3 meses; exportado el 21 de octubre de 2026.</x:v>
      </x:c>
    </x:row>
    <x:row r="5">
      <x:c r="A5" s="24" t="str">
        <x:v>Clics</x:v>
      </x:c>
      <x:c r="B5" s="24" t="str">
        <x:v>Impresiones</x:v>
      </x:c>
      <x:c r="C5" s="24" t="str">
        <x:v>CTR medio</x:v>
      </x:c>
      <x:c r="D5" s="24" t="str">
        <x:v>Posición media</x:v>
      </x:c>
    </x:row>
    <x:row r="6">
      <x:c r="A6" s="42" t="n">
        <x:f>SUM('Tendencia diaria'!B2:B93)</x:f>
        <x:v>509</x:v>
      </x:c>
      <x:c r="B6" s="43" t="n">
        <x:f>SUM('Tendencia diaria'!C2:C93)</x:f>
        <x:v>14704</x:v>
      </x:c>
      <x:c r="C6" s="44" t="n">
        <x:f>A6/B6</x:f>
        <x:v>0.0346164309031556</x:v>
      </x:c>
      <x:c r="D6" s="45" t="n">
        <x:f>SUMPRODUCT('Tendencia diaria'!C2:C93,'Tendencia diaria'!E2:E93)/B6</x:f>
        <x:v>7.415954842219806</x:v>
      </x:c>
    </x:row>
    <x:row r="9">
      <x:c r="A9" s="8" t="str">
        <x:v>Consulta</x:v>
      </x:c>
      <x:c r="B9" s="9" t="str">
        <x:v>Clics</x:v>
      </x:c>
      <x:c r="C9" s="9" t="str">
        <x:v>Impresiones</x:v>
      </x:c>
      <x:c r="D9" s="9" t="str">
        <x:v>CTR</x:v>
      </x:c>
      <x:c r="E9" s="9" t="str">
        <x:v>Posición</x:v>
      </x:c>
      <x:c r="F9" s="9" t="str">
        <x:v>Situación</x:v>
      </x:c>
      <x:c r="G9" s="9" t="str">
        <x:v>Página objetivo</x:v>
      </x:c>
      <x:c r="H9" s="9" t="str">
        <x:v>Próxima acción</x:v>
      </x:c>
      <x:c r="I9" s="10" t="str">
        <x:v>Estado</x:v>
      </x:c>
    </x:row>
    <x:row r="10" ht="15" hidden="0" customHeight="1">
      <x:c r="A10" s="2" t="str">
        <x:f>'Consultas GSC'!A4</x:f>
        <x:v>teja colonial</x:v>
      </x:c>
      <x:c r="B10" s="11" t="n">
        <x:f>'Consultas GSC'!B4</x:f>
        <x:v>14</x:v>
      </x:c>
      <x:c r="C10" s="11" t="n">
        <x:f>'Consultas GSC'!C4</x:f>
        <x:v>1367</x:v>
      </x:c>
      <x:c r="D10" s="12" t="n">
        <x:f>'Consultas GSC'!D4</x:f>
        <x:v>0.0102</x:v>
      </x:c>
      <x:c r="E10" s="13" t="n">
        <x:f>'Consultas GSC'!E4</x:f>
        <x:v>5.19</x:v>
      </x:c>
      <x:c r="F10" s="2" t="str">
        <x:f>IF(E10&lt;=10,IF(D10&lt;$C$6,"Primera página, CTR debajo del sitio","Primera página"),IF(E10&lt;=20,"Segunda página","Más allá de página 2"))</x:f>
        <x:v>Primera página, CTR debajo del sitio</x:v>
      </x:c>
      <x:c r="G10" s="2" t="str">
        <x:v>/productos/teja-colonial</x:v>
      </x:c>
      <x:c r="H10" s="52" t="str">
        <x:f>IF(E10&lt;=10,IF(D10&lt;$C$6,"Revisar título, descripción y ajuste a la intención","Mantener y reforzar enlaces internos"),"Reforzar contenido, enlaces y evidencia real")</x:f>
        <x:v>Revisar título, descripción y ajuste a la intención</x:v>
      </x:c>
      <x:c r="I10" s="53" t="str">
        <x:v>Pendiente</x:v>
      </x:c>
    </x:row>
    <x:row r="11" ht="15" hidden="0" customHeight="1">
      <x:c r="A11" s="2" t="str">
        <x:f>'Consultas GSC'!A56</x:f>
        <x:v>ladrillo a la vista precio</x:v>
      </x:c>
      <x:c r="B11" s="11" t="n">
        <x:f>'Consultas GSC'!B56</x:f>
        <x:v>0</x:v>
      </x:c>
      <x:c r="C11" s="11" t="n">
        <x:f>'Consultas GSC'!C56</x:f>
        <x:v>176</x:v>
      </x:c>
      <x:c r="D11" s="12" t="n">
        <x:f>'Consultas GSC'!D56</x:f>
        <x:v>0</x:v>
      </x:c>
      <x:c r="E11" s="13" t="n">
        <x:f>'Consultas GSC'!E56</x:f>
        <x:v>8.61</x:v>
      </x:c>
      <x:c r="F11" s="2" t="str">
        <x:f>IF(E11&lt;=10,IF(D11&lt;$C$6,"Primera página, CTR debajo del sitio","Primera página"),IF(E11&lt;=20,"Segunda página","Más allá de página 2"))</x:f>
        <x:v>Primera página, CTR debajo del sitio</x:v>
      </x:c>
      <x:c r="G11" s="2" t="str">
        <x:v>/productos/categoria/fachadas</x:v>
      </x:c>
      <x:c r="H11" s="52" t="str">
        <x:f>IF(E11&lt;=10,IF(D11&lt;$C$6,"Revisar título, descripción y ajuste a la intención","Mantener y reforzar enlaces internos"),"Reforzar contenido, enlaces y evidencia real")</x:f>
        <x:v>Revisar título, descripción y ajuste a la intención</x:v>
      </x:c>
      <x:c r="I11" s="53" t="str">
        <x:v>Pendiente</x:v>
      </x:c>
    </x:row>
    <x:row r="12" ht="15" hidden="0" customHeight="1">
      <x:c r="A12" s="2" t="str">
        <x:f>'Consultas GSC'!A17</x:f>
        <x:v>techo colonial</x:v>
      </x:c>
      <x:c r="B12" s="11" t="n">
        <x:f>'Consultas GSC'!B17</x:f>
        <x:v>1</x:v>
      </x:c>
      <x:c r="C12" s="11" t="n">
        <x:f>'Consultas GSC'!C17</x:f>
        <x:v>150</x:v>
      </x:c>
      <x:c r="D12" s="12" t="n">
        <x:f>'Consultas GSC'!D17</x:f>
        <x:v>0.0067</x:v>
      </x:c>
      <x:c r="E12" s="13" t="n">
        <x:f>'Consultas GSC'!E17</x:f>
        <x:v>7.3</x:v>
      </x:c>
      <x:c r="F12" s="2" t="str">
        <x:f>IF(E12&lt;=10,IF(D12&lt;$C$6,"Primera página, CTR debajo del sitio","Primera página"),IF(E12&lt;=20,"Segunda página","Más allá de página 2"))</x:f>
        <x:v>Primera página, CTR debajo del sitio</x:v>
      </x:c>
      <x:c r="G12" s="2" t="str">
        <x:v>/productos/categoria/techos</x:v>
      </x:c>
      <x:c r="H12" s="52" t="str">
        <x:f>IF(E12&lt;=10,IF(D12&lt;$C$6,"Revisar título, descripción y ajuste a la intención","Mantener y reforzar enlaces internos"),"Reforzar contenido, enlaces y evidencia real")</x:f>
        <x:v>Revisar título, descripción y ajuste a la intención</x:v>
      </x:c>
      <x:c r="I12" s="53" t="str">
        <x:v>Pendiente</x:v>
      </x:c>
    </x:row>
    <x:row r="13" ht="15" hidden="0" customHeight="1">
      <x:c r="A13" s="2" t="str">
        <x:f>'Consultas GSC'!A9</x:f>
        <x:v>teja de barro</x:v>
      </x:c>
      <x:c r="B13" s="11" t="n">
        <x:f>'Consultas GSC'!B9</x:f>
        <x:v>2</x:v>
      </x:c>
      <x:c r="C13" s="11" t="n">
        <x:f>'Consultas GSC'!C9</x:f>
        <x:v>137</x:v>
      </x:c>
      <x:c r="D13" s="12" t="n">
        <x:f>'Consultas GSC'!D9</x:f>
        <x:v>0.0146</x:v>
      </x:c>
      <x:c r="E13" s="13" t="n">
        <x:f>'Consultas GSC'!E9</x:f>
        <x:v>15.34</x:v>
      </x:c>
      <x:c r="F13" s="2" t="str">
        <x:f>IF(E13&lt;=10,IF(D13&lt;$C$6,"Primera página, CTR debajo del sitio","Primera página"),IF(E13&lt;=20,"Segunda página","Más allá de página 2"))</x:f>
        <x:v>Segunda página</x:v>
      </x:c>
      <x:c r="G13" s="2" t="str">
        <x:v>/productos/categoria/techos</x:v>
      </x:c>
      <x:c r="H13" s="52" t="str">
        <x:f>IF(E13&lt;=10,IF(D13&lt;$C$6,"Revisar título, descripción y ajuste a la intención","Mantener y reforzar enlaces internos"),"Reforzar contenido, enlaces y evidencia real")</x:f>
        <x:v>Reforzar contenido, enlaces y evidencia real</x:v>
      </x:c>
      <x:c r="I13" s="53" t="str">
        <x:v>Pendiente</x:v>
      </x:c>
    </x:row>
    <x:row r="14" ht="15" hidden="0" customHeight="1">
      <x:c r="A14" s="2" t="str">
        <x:f>'Consultas GSC'!A7</x:f>
        <x:v>teja de barro colonial</x:v>
      </x:c>
      <x:c r="B14" s="11" t="n">
        <x:f>'Consultas GSC'!B7</x:f>
        <x:v>4</x:v>
      </x:c>
      <x:c r="C14" s="11" t="n">
        <x:f>'Consultas GSC'!C7</x:f>
        <x:v>115</x:v>
      </x:c>
      <x:c r="D14" s="12" t="n">
        <x:f>'Consultas GSC'!D7</x:f>
        <x:v>0.0348</x:v>
      </x:c>
      <x:c r="E14" s="13" t="n">
        <x:f>'Consultas GSC'!E7</x:f>
        <x:v>6.17</x:v>
      </x:c>
      <x:c r="F14" s="2" t="str">
        <x:f>IF(E14&lt;=10,IF(D14&lt;$C$6,"Primera página, CTR debajo del sitio","Primera página"),IF(E14&lt;=20,"Segunda página","Más allá de página 2"))</x:f>
        <x:v>Primera página</x:v>
      </x:c>
      <x:c r="G14" s="2" t="str">
        <x:v>/productos/categoria/techos</x:v>
      </x:c>
      <x:c r="H14" s="52" t="str">
        <x:f>IF(E14&lt;=10,IF(D14&lt;$C$6,"Revisar título, descripción y ajuste a la intención","Mantener y reforzar enlaces internos"),"Reforzar contenido, enlaces y evidencia real")</x:f>
        <x:v>Mantener y reforzar enlaces internos</x:v>
      </x:c>
      <x:c r="I14" s="53" t="str">
        <x:v>Pendiente</x:v>
      </x:c>
    </x:row>
    <x:row r="15" ht="15" hidden="0" customHeight="1">
      <x:c r="A15" s="2" t="str">
        <x:f>'Consultas GSC'!A6</x:f>
        <x:v>ladrillo romano</x:v>
      </x:c>
      <x:c r="B15" s="11" t="n">
        <x:f>'Consultas GSC'!B6</x:f>
        <x:v>7</x:v>
      </x:c>
      <x:c r="C15" s="11" t="n">
        <x:f>'Consultas GSC'!C6</x:f>
        <x:v>105</x:v>
      </x:c>
      <x:c r="D15" s="12" t="n">
        <x:f>'Consultas GSC'!D6</x:f>
        <x:v>0.0667</x:v>
      </x:c>
      <x:c r="E15" s="13" t="n">
        <x:f>'Consultas GSC'!E6</x:f>
        <x:v>4.87</x:v>
      </x:c>
      <x:c r="F15" s="2" t="str">
        <x:f>IF(E15&lt;=10,IF(D15&lt;$C$6,"Primera página, CTR debajo del sitio","Primera página"),IF(E15&lt;=20,"Segunda página","Más allá de página 2"))</x:f>
        <x:v>Primera página</x:v>
      </x:c>
      <x:c r="G15" s="2" t="str">
        <x:v>/productos/romano</x:v>
      </x:c>
      <x:c r="H15" s="52" t="str">
        <x:f>IF(E15&lt;=10,IF(D15&lt;$C$6,"Revisar título, descripción y ajuste a la intención","Mantener y reforzar enlaces internos"),"Reforzar contenido, enlaces y evidencia real")</x:f>
        <x:v>Mantener y reforzar enlaces internos</x:v>
      </x:c>
      <x:c r="I15" s="53" t="str">
        <x:v>Pendiente</x:v>
      </x:c>
    </x:row>
    <x:row r="16" ht="15" hidden="0" customHeight="1">
      <x:c r="A16" s="2" t="str">
        <x:f>'Consultas GSC'!A18</x:f>
        <x:v>ladrillo a la vista precio colombia</x:v>
      </x:c>
      <x:c r="B16" s="11" t="n">
        <x:f>'Consultas GSC'!B18</x:f>
        <x:v>1</x:v>
      </x:c>
      <x:c r="C16" s="11" t="n">
        <x:f>'Consultas GSC'!C18</x:f>
        <x:v>98</x:v>
      </x:c>
      <x:c r="D16" s="12" t="n">
        <x:f>'Consultas GSC'!D18</x:f>
        <x:v>0.0102</x:v>
      </x:c>
      <x:c r="E16" s="13" t="n">
        <x:f>'Consultas GSC'!E18</x:f>
        <x:v>7.28</x:v>
      </x:c>
      <x:c r="F16" s="2" t="str">
        <x:f>IF(E16&lt;=10,IF(D16&lt;$C$6,"Primera página, CTR debajo del sitio","Primera página"),IF(E16&lt;=20,"Segunda página","Más allá de página 2"))</x:f>
        <x:v>Primera página, CTR debajo del sitio</x:v>
      </x:c>
      <x:c r="G16" s="2" t="str">
        <x:v>/productos/categoria/fachadas</x:v>
      </x:c>
      <x:c r="H16" s="52" t="str">
        <x:f>IF(E16&lt;=10,IF(D16&lt;$C$6,"Revisar título, descripción y ajuste a la intención","Mantener y reforzar enlaces internos"),"Reforzar contenido, enlaces y evidencia real")</x:f>
        <x:v>Revisar título, descripción y ajuste a la intención</x:v>
      </x:c>
      <x:c r="I16" s="53" t="str">
        <x:v>Pendiente</x:v>
      </x:c>
    </x:row>
    <x:row r="17" ht="15" hidden="0" customHeight="1">
      <x:c r="A17" s="2" t="str">
        <x:f>'Consultas GSC'!A10</x:f>
        <x:v>ladrilleras en medellín precios</x:v>
      </x:c>
      <x:c r="B17" s="11" t="n">
        <x:f>'Consultas GSC'!B10</x:f>
        <x:v>2</x:v>
      </x:c>
      <x:c r="C17" s="11" t="n">
        <x:f>'Consultas GSC'!C10</x:f>
        <x:v>85</x:v>
      </x:c>
      <x:c r="D17" s="12" t="n">
        <x:f>'Consultas GSC'!D10</x:f>
        <x:v>0.0235</x:v>
      </x:c>
      <x:c r="E17" s="13" t="n">
        <x:f>'Consultas GSC'!E10</x:f>
        <x:v>11.48</x:v>
      </x:c>
      <x:c r="F17" s="2" t="str">
        <x:f>IF(E17&lt;=10,IF(D17&lt;$C$6,"Primera página, CTR debajo del sitio","Primera página"),IF(E17&lt;=20,"Segunda página","Más allá de página 2"))</x:f>
        <x:v>Segunda página</x:v>
      </x:c>
      <x:c r="G17" s="2" t="str">
        <x:v>/comprar-ladrillo-medellin</x:v>
      </x:c>
      <x:c r="H17" s="52" t="str">
        <x:f>IF(E17&lt;=10,IF(D17&lt;$C$6,"Revisar título, descripción y ajuste a la intención","Mantener y reforzar enlaces internos"),"Reforzar contenido, enlaces y evidencia real")</x:f>
        <x:v>Reforzar contenido, enlaces y evidencia real</x:v>
      </x:c>
      <x:c r="I17" s="53" t="str">
        <x:v>Pendiente</x:v>
      </x:c>
    </x:row>
    <x:row r="18" ht="15" hidden="0" customHeight="1">
      <x:c r="A18" s="2" t="str">
        <x:f>'Consultas GSC'!A19</x:f>
        <x:v>tejas coloniales</x:v>
      </x:c>
      <x:c r="B18" s="11" t="n">
        <x:f>'Consultas GSC'!B19</x:f>
        <x:v>1</x:v>
      </x:c>
      <x:c r="C18" s="11" t="n">
        <x:f>'Consultas GSC'!C19</x:f>
        <x:v>75</x:v>
      </x:c>
      <x:c r="D18" s="12" t="n">
        <x:f>'Consultas GSC'!D19</x:f>
        <x:v>0.013300000000000001</x:v>
      </x:c>
      <x:c r="E18" s="13" t="n">
        <x:f>'Consultas GSC'!E19</x:f>
        <x:v>7.16</x:v>
      </x:c>
      <x:c r="F18" s="2" t="str">
        <x:f>IF(E18&lt;=10,IF(D18&lt;$C$6,"Primera página, CTR debajo del sitio","Primera página"),IF(E18&lt;=20,"Segunda página","Más allá de página 2"))</x:f>
        <x:v>Primera página, CTR debajo del sitio</x:v>
      </x:c>
      <x:c r="G18" s="2" t="str">
        <x:v>/productos/categoria/techos</x:v>
      </x:c>
      <x:c r="H18" s="52" t="str">
        <x:f>IF(E18&lt;=10,IF(D18&lt;$C$6,"Revisar título, descripción y ajuste a la intención","Mantener y reforzar enlaces internos"),"Reforzar contenido, enlaces y evidencia real")</x:f>
        <x:v>Revisar título, descripción y ajuste a la intención</x:v>
      </x:c>
      <x:c r="I18" s="53" t="str">
        <x:v>Pendiente</x:v>
      </x:c>
    </x:row>
    <x:row r="19" ht="15" hidden="0" customHeight="1">
      <x:c r="A19" s="2" t="str">
        <x:f>'Consultas GSC'!A11</x:f>
        <x:v>teja plana</x:v>
      </x:c>
      <x:c r="B19" s="11" t="n">
        <x:f>'Consultas GSC'!B11</x:f>
        <x:v>2</x:v>
      </x:c>
      <x:c r="C19" s="11" t="n">
        <x:f>'Consultas GSC'!C11</x:f>
        <x:v>62</x:v>
      </x:c>
      <x:c r="D19" s="12" t="n">
        <x:f>'Consultas GSC'!D11</x:f>
        <x:v>0.0323</x:v>
      </x:c>
      <x:c r="E19" s="13" t="n">
        <x:f>'Consultas GSC'!E11</x:f>
        <x:v>10.42</x:v>
      </x:c>
      <x:c r="F19" s="2" t="str">
        <x:f>IF(E19&lt;=10,IF(D19&lt;$C$6,"Primera página, CTR debajo del sitio","Primera página"),IF(E19&lt;=20,"Segunda página","Más allá de página 2"))</x:f>
        <x:v>Segunda página</x:v>
      </x:c>
      <x:c r="G19" s="2" t="str">
        <x:v>/productos/teja-plana</x:v>
      </x:c>
      <x:c r="H19" s="52" t="str">
        <x:f>IF(E19&lt;=10,IF(D19&lt;$C$6,"Revisar título, descripción y ajuste a la intención","Mantener y reforzar enlaces internos"),"Reforzar contenido, enlaces y evidencia real")</x:f>
        <x:v>Reforzar contenido, enlaces y evidencia real</x:v>
      </x:c>
      <x:c r="I19" s="53" t="str">
        <x:v>Pendiente</x:v>
      </x:c>
    </x:row>
    <x:row r="20" ht="15" hidden="0" customHeight="1">
      <x:c r="A20" s="2" t="str">
        <x:f>'Consultas GSC'!A59</x:f>
        <x:v>ladrillo rayado</x:v>
      </x:c>
      <x:c r="B20" s="11" t="n">
        <x:f>'Consultas GSC'!B59</x:f>
        <x:v>0</x:v>
      </x:c>
      <x:c r="C20" s="11" t="n">
        <x:f>'Consultas GSC'!C59</x:f>
        <x:v>58</x:v>
      </x:c>
      <x:c r="D20" s="12" t="n">
        <x:f>'Consultas GSC'!D59</x:f>
        <x:v>0</x:v>
      </x:c>
      <x:c r="E20" s="13" t="n">
        <x:f>'Consultas GSC'!E59</x:f>
        <x:v>5.69</x:v>
      </x:c>
      <x:c r="F20" s="2" t="str">
        <x:f>IF(E20&lt;=10,IF(D20&lt;$C$6,"Primera página, CTR debajo del sitio","Primera página"),IF(E20&lt;=20,"Segunda página","Más allá de página 2"))</x:f>
        <x:v>Primera página, CTR debajo del sitio</x:v>
      </x:c>
      <x:c r="G20" s="2" t="str">
        <x:v>/productos</x:v>
      </x:c>
      <x:c r="H20" s="52" t="str">
        <x:f>IF(E20&lt;=10,IF(D20&lt;$C$6,"Revisar título, descripción y ajuste a la intención","Mantener y reforzar enlaces internos"),"Reforzar contenido, enlaces y evidencia real")</x:f>
        <x:v>Revisar título, descripción y ajuste a la intención</x:v>
      </x:c>
      <x:c r="I20" s="53" t="str">
        <x:v>Pendiente</x:v>
      </x:c>
    </x:row>
    <x:row r="21" ht="15" hidden="0" customHeight="1">
      <x:c r="A21" s="2" t="str">
        <x:f>'Consultas GSC'!A60</x:f>
        <x:v>precio ladrillo a la vista</x:v>
      </x:c>
      <x:c r="B21" s="11" t="n">
        <x:f>'Consultas GSC'!B60</x:f>
        <x:v>0</x:v>
      </x:c>
      <x:c r="C21" s="11" t="n">
        <x:f>'Consultas GSC'!C60</x:f>
        <x:v>55</x:v>
      </x:c>
      <x:c r="D21" s="12" t="n">
        <x:f>'Consultas GSC'!D60</x:f>
        <x:v>0</x:v>
      </x:c>
      <x:c r="E21" s="13" t="n">
        <x:f>'Consultas GSC'!E60</x:f>
        <x:v>8.02</x:v>
      </x:c>
      <x:c r="F21" s="2" t="str">
        <x:f>IF(E21&lt;=10,IF(D21&lt;$C$6,"Primera página, CTR debajo del sitio","Primera página"),IF(E21&lt;=20,"Segunda página","Más allá de página 2"))</x:f>
        <x:v>Primera página, CTR debajo del sitio</x:v>
      </x:c>
      <x:c r="G21" s="2" t="str">
        <x:v>/productos/categoria/fachadas</x:v>
      </x:c>
      <x:c r="H21" s="52" t="str">
        <x:f>IF(E21&lt;=10,IF(D21&lt;$C$6,"Revisar título, descripción y ajuste a la intención","Mantener y reforzar enlaces internos"),"Reforzar contenido, enlaces y evidencia real")</x:f>
        <x:v>Revisar título, descripción y ajuste a la intención</x:v>
      </x:c>
      <x:c r="I21" s="53" t="str">
        <x:v>Pendiente</x:v>
      </x:c>
    </x:row>
    <x:row r="22" ht="15" hidden="0" customHeight="1">
      <x:c r="A22" s="2" t="str">
        <x:f>'Consultas GSC'!A5</x:f>
        <x:v>ladrillo cartagena</x:v>
      </x:c>
      <x:c r="B22" s="11" t="n">
        <x:f>'Consultas GSC'!B5</x:f>
        <x:v>9</x:v>
      </x:c>
      <x:c r="C22" s="11" t="n">
        <x:f>'Consultas GSC'!C5</x:f>
        <x:v>53</x:v>
      </x:c>
      <x:c r="D22" s="12" t="n">
        <x:f>'Consultas GSC'!D5</x:f>
        <x:v>0.1698</x:v>
      </x:c>
      <x:c r="E22" s="13" t="n">
        <x:f>'Consultas GSC'!E5</x:f>
        <x:v>3.64</x:v>
      </x:c>
      <x:c r="F22" s="2" t="str">
        <x:f>IF(E22&lt;=10,IF(D22&lt;$C$6,"Primera página, CTR debajo del sitio","Primera página"),IF(E22&lt;=20,"Segunda página","Más allá de página 2"))</x:f>
        <x:v>Primera página</x:v>
      </x:c>
      <x:c r="G22" s="2" t="str">
        <x:v>/productos/cartagena</x:v>
      </x:c>
      <x:c r="H22" s="52" t="str">
        <x:f>IF(E22&lt;=10,IF(D22&lt;$C$6,"Revisar título, descripción y ajuste a la intención","Mantener y reforzar enlaces internos"),"Reforzar contenido, enlaces y evidencia real")</x:f>
        <x:v>Mantener y reforzar enlaces internos</x:v>
      </x:c>
      <x:c r="I22" s="53" t="str">
        <x:v>Pendiente</x:v>
      </x:c>
    </x:row>
    <x:row r="23" ht="15" hidden="0" customHeight="1">
      <x:c r="A23" s="2" t="str">
        <x:f>'Consultas GSC'!A20</x:f>
        <x:v>adobe catalan</x:v>
      </x:c>
      <x:c r="B23" s="11" t="n">
        <x:f>'Consultas GSC'!B20</x:f>
        <x:v>1</x:v>
      </x:c>
      <x:c r="C23" s="11" t="n">
        <x:f>'Consultas GSC'!C20</x:f>
        <x:v>51</x:v>
      </x:c>
      <x:c r="D23" s="12" t="n">
        <x:f>'Consultas GSC'!D20</x:f>
        <x:v>0.0196</x:v>
      </x:c>
      <x:c r="E23" s="13" t="n">
        <x:f>'Consultas GSC'!E20</x:f>
        <x:v>9.25</x:v>
      </x:c>
      <x:c r="F23" s="2" t="str">
        <x:f>IF(E23&lt;=10,IF(D23&lt;$C$6,"Primera página, CTR debajo del sitio","Primera página"),IF(E23&lt;=20,"Segunda página","Más allá de página 2"))</x:f>
        <x:v>Primera página, CTR debajo del sitio</x:v>
      </x:c>
      <x:c r="G23" s="2" t="str">
        <x:v>/productos</x:v>
      </x:c>
      <x:c r="H23" s="52" t="str">
        <x:f>IF(E23&lt;=10,IF(D23&lt;$C$6,"Revisar título, descripción y ajuste a la intención","Mantener y reforzar enlaces internos"),"Reforzar contenido, enlaces y evidencia real")</x:f>
        <x:v>Revisar título, descripción y ajuste a la intención</x:v>
      </x:c>
      <x:c r="I23" s="53" t="str">
        <x:v>Pendiente</x:v>
      </x:c>
    </x:row>
    <x:row r="24" ht="15" hidden="0" customHeight="1">
      <x:c r="A24" s="2" t="str">
        <x:f>'Consultas GSC'!A13</x:f>
        <x:v>teja plana de barro</x:v>
      </x:c>
      <x:c r="B24" s="11" t="n">
        <x:f>'Consultas GSC'!B13</x:f>
        <x:v>2</x:v>
      </x:c>
      <x:c r="C24" s="11" t="n">
        <x:f>'Consultas GSC'!C13</x:f>
        <x:v>49</x:v>
      </x:c>
      <x:c r="D24" s="12" t="n">
        <x:f>'Consultas GSC'!D13</x:f>
        <x:v>0.0408</x:v>
      </x:c>
      <x:c r="E24" s="13" t="n">
        <x:f>'Consultas GSC'!E13</x:f>
        <x:v>9.55</x:v>
      </x:c>
      <x:c r="F24" s="2" t="str">
        <x:f>IF(E24&lt;=10,IF(D24&lt;$C$6,"Primera página, CTR debajo del sitio","Primera página"),IF(E24&lt;=20,"Segunda página","Más allá de página 2"))</x:f>
        <x:v>Primera página</x:v>
      </x:c>
      <x:c r="G24" s="2" t="str">
        <x:v>/productos/teja-plana</x:v>
      </x:c>
      <x:c r="H24" s="52" t="str">
        <x:f>IF(E24&lt;=10,IF(D24&lt;$C$6,"Revisar título, descripción y ajuste a la intención","Mantener y reforzar enlaces internos"),"Reforzar contenido, enlaces y evidencia real")</x:f>
        <x:v>Mantener y reforzar enlaces internos</x:v>
      </x:c>
      <x:c r="I24" s="53" t="str">
        <x:v>Pendiente</x:v>
      </x:c>
    </x:row>
    <x:row r="25" ht="15" hidden="0" customHeight="1">
      <x:c r="A25" s="2" t="str">
        <x:f>'Consultas GSC'!A61</x:f>
        <x:v>enchape ladrillo</x:v>
      </x:c>
      <x:c r="B25" s="11" t="n">
        <x:f>'Consultas GSC'!B61</x:f>
        <x:v>0</x:v>
      </x:c>
      <x:c r="C25" s="11" t="n">
        <x:f>'Consultas GSC'!C61</x:f>
        <x:v>45</x:v>
      </x:c>
      <x:c r="D25" s="12" t="n">
        <x:f>'Consultas GSC'!D61</x:f>
        <x:v>0</x:v>
      </x:c>
      <x:c r="E25" s="13" t="n">
        <x:f>'Consultas GSC'!E61</x:f>
        <x:v>17.42</x:v>
      </x:c>
      <x:c r="F25" s="2" t="str">
        <x:f>IF(E25&lt;=10,IF(D25&lt;$C$6,"Primera página, CTR debajo del sitio","Primera página"),IF(E25&lt;=20,"Segunda página","Más allá de página 2"))</x:f>
        <x:v>Segunda página</x:v>
      </x:c>
      <x:c r="G25" s="2" t="str">
        <x:v>/productos/categoria/enchapes</x:v>
      </x:c>
      <x:c r="H25" s="52" t="str">
        <x:f>IF(E25&lt;=10,IF(D25&lt;$C$6,"Revisar título, descripción y ajuste a la intención","Mantener y reforzar enlaces internos"),"Reforzar contenido, enlaces y evidencia real")</x:f>
        <x:v>Reforzar contenido, enlaces y evidencia real</x:v>
      </x:c>
      <x:c r="I25" s="53" t="str">
        <x:v>Pendiente</x:v>
      </x:c>
    </x:row>
    <x:row r="26" ht="15" hidden="0" customHeight="1">
      <x:c r="A26" s="2" t="str">
        <x:f>'Consultas GSC'!A62</x:f>
        <x:v>teja colonial de barro</x:v>
      </x:c>
      <x:c r="B26" s="11" t="n">
        <x:f>'Consultas GSC'!B62</x:f>
        <x:v>0</x:v>
      </x:c>
      <x:c r="C26" s="11" t="n">
        <x:f>'Consultas GSC'!C62</x:f>
        <x:v>44</x:v>
      </x:c>
      <x:c r="D26" s="12" t="n">
        <x:f>'Consultas GSC'!D62</x:f>
        <x:v>0</x:v>
      </x:c>
      <x:c r="E26" s="13" t="n">
        <x:f>'Consultas GSC'!E62</x:f>
        <x:v>5.18</x:v>
      </x:c>
      <x:c r="F26" s="2" t="str">
        <x:f>IF(E26&lt;=10,IF(D26&lt;$C$6,"Primera página, CTR debajo del sitio","Primera página"),IF(E26&lt;=20,"Segunda página","Más allá de página 2"))</x:f>
        <x:v>Primera página, CTR debajo del sitio</x:v>
      </x:c>
      <x:c r="G26" s="2" t="str">
        <x:v>/productos/teja-colonial</x:v>
      </x:c>
      <x:c r="H26" s="52" t="str">
        <x:f>IF(E26&lt;=10,IF(D26&lt;$C$6,"Revisar título, descripción y ajuste a la intención","Mantener y reforzar enlaces internos"),"Reforzar contenido, enlaces y evidencia real")</x:f>
        <x:v>Revisar título, descripción y ajuste a la intención</x:v>
      </x:c>
      <x:c r="I26" s="53" t="str">
        <x:v>Pendiente</x:v>
      </x:c>
    </x:row>
    <x:row r="27" ht="15" hidden="0" customHeight="1">
      <x:c r="A27" s="2" t="str">
        <x:f>'Consultas GSC'!A63</x:f>
        <x:v>tejas planas</x:v>
      </x:c>
      <x:c r="B27" s="11" t="n">
        <x:f>'Consultas GSC'!B63</x:f>
        <x:v>0</x:v>
      </x:c>
      <x:c r="C27" s="11" t="n">
        <x:f>'Consultas GSC'!C63</x:f>
        <x:v>44</x:v>
      </x:c>
      <x:c r="D27" s="12" t="n">
        <x:f>'Consultas GSC'!D63</x:f>
        <x:v>0</x:v>
      </x:c>
      <x:c r="E27" s="13" t="n">
        <x:f>'Consultas GSC'!E63</x:f>
        <x:v>5.59</x:v>
      </x:c>
      <x:c r="F27" s="2" t="str">
        <x:f>IF(E27&lt;=10,IF(D27&lt;$C$6,"Primera página, CTR debajo del sitio","Primera página"),IF(E27&lt;=20,"Segunda página","Más allá de página 2"))</x:f>
        <x:v>Primera página, CTR debajo del sitio</x:v>
      </x:c>
      <x:c r="G27" s="2" t="str">
        <x:v>/productos/categoria/techos</x:v>
      </x:c>
      <x:c r="H27" s="52" t="str">
        <x:f>IF(E27&lt;=10,IF(D27&lt;$C$6,"Revisar título, descripción y ajuste a la intención","Mantener y reforzar enlaces internos"),"Reforzar contenido, enlaces y evidencia real")</x:f>
        <x:v>Revisar título, descripción y ajuste a la intención</x:v>
      </x:c>
      <x:c r="I27" s="53" t="str">
        <x:v>Pendiente</x:v>
      </x:c>
    </x:row>
    <x:row r="28" ht="15" hidden="0" customHeight="1">
      <x:c r="A28" s="2" t="str">
        <x:f>'Consultas GSC'!A64</x:f>
        <x:v>techo colonial exterior</x:v>
      </x:c>
      <x:c r="B28" s="11" t="n">
        <x:f>'Consultas GSC'!B64</x:f>
        <x:v>0</x:v>
      </x:c>
      <x:c r="C28" s="11" t="n">
        <x:f>'Consultas GSC'!C64</x:f>
        <x:v>43</x:v>
      </x:c>
      <x:c r="D28" s="12" t="n">
        <x:f>'Consultas GSC'!D64</x:f>
        <x:v>0</x:v>
      </x:c>
      <x:c r="E28" s="13" t="n">
        <x:f>'Consultas GSC'!E64</x:f>
        <x:v>10.51</x:v>
      </x:c>
      <x:c r="F28" s="2" t="str">
        <x:f>IF(E28&lt;=10,IF(D28&lt;$C$6,"Primera página, CTR debajo del sitio","Primera página"),IF(E28&lt;=20,"Segunda página","Más allá de página 2"))</x:f>
        <x:v>Segunda página</x:v>
      </x:c>
      <x:c r="G28" s="2" t="str">
        <x:v>/productos/categoria/techos</x:v>
      </x:c>
      <x:c r="H28" s="52" t="str">
        <x:f>IF(E28&lt;=10,IF(D28&lt;$C$6,"Revisar título, descripción y ajuste a la intención","Mantener y reforzar enlaces internos"),"Reforzar contenido, enlaces y evidencia real")</x:f>
        <x:v>Reforzar contenido, enlaces y evidencia real</x:v>
      </x:c>
      <x:c r="I28" s="53" t="str">
        <x:v>Pendiente</x:v>
      </x:c>
    </x:row>
    <x:row r="29" ht="15" hidden="0" customHeight="1">
      <x:c r="A29" s="2" t="str">
        <x:f>'Consultas GSC'!A65</x:f>
        <x:v>precio de ladrillo a la vista</x:v>
      </x:c>
      <x:c r="B29" s="11" t="n">
        <x:f>'Consultas GSC'!B65</x:f>
        <x:v>0</x:v>
      </x:c>
      <x:c r="C29" s="11" t="n">
        <x:f>'Consultas GSC'!C65</x:f>
        <x:v>42</x:v>
      </x:c>
      <x:c r="D29" s="12" t="n">
        <x:f>'Consultas GSC'!D65</x:f>
        <x:v>0</x:v>
      </x:c>
      <x:c r="E29" s="13" t="n">
        <x:f>'Consultas GSC'!E65</x:f>
        <x:v>7.55</x:v>
      </x:c>
      <x:c r="F29" s="2" t="str">
        <x:f>IF(E29&lt;=10,IF(D29&lt;$C$6,"Primera página, CTR debajo del sitio","Primera página"),IF(E29&lt;=20,"Segunda página","Más allá de página 2"))</x:f>
        <x:v>Primera página, CTR debajo del sitio</x:v>
      </x:c>
      <x:c r="G29" s="2" t="str">
        <x:v>/productos/categoria/fachadas</x:v>
      </x:c>
      <x:c r="H29" s="52" t="str">
        <x:f>IF(E29&lt;=10,IF(D29&lt;$C$6,"Revisar título, descripción y ajuste a la intención","Mantener y reforzar enlaces internos"),"Reforzar contenido, enlaces y evidencia real")</x:f>
        <x:v>Revisar título, descripción y ajuste a la intención</x:v>
      </x:c>
      <x:c r="I29" s="53" t="str">
        <x:v>Pendiente</x:v>
      </x:c>
    </x:row>
    <x:row r="30" ht="15" hidden="0" customHeight="1">
      <x:c r="A30" s="2" t="str">
        <x:f>'Consultas GSC'!A8</x:f>
        <x:v>ladrillera amaga</x:v>
      </x:c>
      <x:c r="B30" s="11" t="n">
        <x:f>'Consultas GSC'!B8</x:f>
        <x:v>3</x:v>
      </x:c>
      <x:c r="C30" s="11" t="n">
        <x:f>'Consultas GSC'!C8</x:f>
        <x:v>41</x:v>
      </x:c>
      <x:c r="D30" s="12" t="n">
        <x:f>'Consultas GSC'!D8</x:f>
        <x:v>0.0732</x:v>
      </x:c>
      <x:c r="E30" s="13" t="n">
        <x:f>'Consultas GSC'!E8</x:f>
        <x:v>12.66</x:v>
      </x:c>
      <x:c r="F30" s="2" t="str">
        <x:f>IF(E30&lt;=10,IF(D30&lt;$C$6,"Primera página, CTR debajo del sitio","Primera página"),IF(E30&lt;=20,"Segunda página","Más allá de página 2"))</x:f>
        <x:v>Segunda página</x:v>
      </x:c>
      <x:c r="G30" s="2" t="str">
        <x:v>/comprar-ladrillo-medellin</x:v>
      </x:c>
      <x:c r="H30" s="52" t="str">
        <x:f>IF(E30&lt;=10,IF(D30&lt;$C$6,"Revisar título, descripción y ajuste a la intención","Mantener y reforzar enlaces internos"),"Reforzar contenido, enlaces y evidencia real")</x:f>
        <x:v>Reforzar contenido, enlaces y evidencia real</x:v>
      </x:c>
      <x:c r="I30" s="53" t="str">
        <x:v>Pendiente</x:v>
      </x:c>
    </x:row>
    <x:row r="31" ht="15" hidden="0" customHeight="1">
      <x:c r="A31" s="2" t="str">
        <x:f>'Consultas GSC'!A21</x:f>
        <x:v>ladrillo para fachada precio</x:v>
      </x:c>
      <x:c r="B31" s="11" t="n">
        <x:f>'Consultas GSC'!B21</x:f>
        <x:v>1</x:v>
      </x:c>
      <x:c r="C31" s="11" t="n">
        <x:f>'Consultas GSC'!C21</x:f>
        <x:v>40</x:v>
      </x:c>
      <x:c r="D31" s="12" t="n">
        <x:f>'Consultas GSC'!D21</x:f>
        <x:v>0.025</x:v>
      </x:c>
      <x:c r="E31" s="13" t="n">
        <x:f>'Consultas GSC'!E21</x:f>
        <x:v>9.68</x:v>
      </x:c>
      <x:c r="F31" s="2" t="str">
        <x:f>IF(E31&lt;=10,IF(D31&lt;$C$6,"Primera página, CTR debajo del sitio","Primera página"),IF(E31&lt;=20,"Segunda página","Más allá de página 2"))</x:f>
        <x:v>Primera página, CTR debajo del sitio</x:v>
      </x:c>
      <x:c r="G31" s="2" t="str">
        <x:v>/productos/categoria/fachadas</x:v>
      </x:c>
      <x:c r="H31" s="52" t="str">
        <x:f>IF(E31&lt;=10,IF(D31&lt;$C$6,"Revisar título, descripción y ajuste a la intención","Mantener y reforzar enlaces internos"),"Reforzar contenido, enlaces y evidencia real")</x:f>
        <x:v>Revisar título, descripción y ajuste a la intención</x:v>
      </x:c>
      <x:c r="I31" s="53" t="str">
        <x:v>Pendiente</x:v>
      </x:c>
    </x:row>
    <x:row r="32" ht="15" hidden="0" customHeight="1">
      <x:c r="A32" s="2" t="str">
        <x:f>'Consultas GSC'!A66</x:f>
        <x:v>ladrillo ala vista precio</x:v>
      </x:c>
      <x:c r="B32" s="11" t="n">
        <x:f>'Consultas GSC'!B66</x:f>
        <x:v>0</x:v>
      </x:c>
      <x:c r="C32" s="11" t="n">
        <x:f>'Consultas GSC'!C66</x:f>
        <x:v>36</x:v>
      </x:c>
      <x:c r="D32" s="12" t="n">
        <x:f>'Consultas GSC'!D66</x:f>
        <x:v>0</x:v>
      </x:c>
      <x:c r="E32" s="13" t="n">
        <x:f>'Consultas GSC'!E66</x:f>
        <x:v>7.19</x:v>
      </x:c>
      <x:c r="F32" s="2" t="str">
        <x:f>IF(E32&lt;=10,IF(D32&lt;$C$6,"Primera página, CTR debajo del sitio","Primera página"),IF(E32&lt;=20,"Segunda página","Más allá de página 2"))</x:f>
        <x:v>Primera página, CTR debajo del sitio</x:v>
      </x:c>
      <x:c r="G32" s="2" t="str">
        <x:v>/productos</x:v>
      </x:c>
      <x:c r="H32" s="52" t="str">
        <x:f>IF(E32&lt;=10,IF(D32&lt;$C$6,"Revisar título, descripción y ajuste a la intención","Mantener y reforzar enlaces internos"),"Reforzar contenido, enlaces y evidencia real")</x:f>
        <x:v>Revisar título, descripción y ajuste a la intención</x:v>
      </x:c>
      <x:c r="I32" s="53" t="str">
        <x:v>Pendiente</x:v>
      </x:c>
    </x:row>
    <x:row r="33" ht="15" hidden="0" customHeight="1">
      <x:c r="A33" s="2" t="str">
        <x:f>'Consultas GSC'!A67</x:f>
        <x:v>teja de barro plana</x:v>
      </x:c>
      <x:c r="B33" s="11" t="n">
        <x:f>'Consultas GSC'!B67</x:f>
        <x:v>0</x:v>
      </x:c>
      <x:c r="C33" s="11" t="n">
        <x:f>'Consultas GSC'!C67</x:f>
        <x:v>36</x:v>
      </x:c>
      <x:c r="D33" s="12" t="n">
        <x:f>'Consultas GSC'!D67</x:f>
        <x:v>0</x:v>
      </x:c>
      <x:c r="E33" s="13" t="n">
        <x:f>'Consultas GSC'!E67</x:f>
        <x:v>10.11</x:v>
      </x:c>
      <x:c r="F33" s="2" t="str">
        <x:f>IF(E33&lt;=10,IF(D33&lt;$C$6,"Primera página, CTR debajo del sitio","Primera página"),IF(E33&lt;=20,"Segunda página","Más allá de página 2"))</x:f>
        <x:v>Segunda página</x:v>
      </x:c>
      <x:c r="G33" s="2" t="str">
        <x:v>/productos/categoria/techos</x:v>
      </x:c>
      <x:c r="H33" s="52" t="str">
        <x:f>IF(E33&lt;=10,IF(D33&lt;$C$6,"Revisar título, descripción y ajuste a la intención","Mantener y reforzar enlaces internos"),"Reforzar contenido, enlaces y evidencia real")</x:f>
        <x:v>Reforzar contenido, enlaces y evidencia real</x:v>
      </x:c>
      <x:c r="I33" s="53" t="str">
        <x:v>Pendiente</x:v>
      </x:c>
    </x:row>
    <x:row r="34" ht="15" hidden="0" customHeight="1">
      <x:c r="A34" s="2" t="str">
        <x:f>'Consultas GSC'!A22</x:f>
        <x:v>teja colonial barro</x:v>
      </x:c>
      <x:c r="B34" s="11" t="n">
        <x:f>'Consultas GSC'!B22</x:f>
        <x:v>1</x:v>
      </x:c>
      <x:c r="C34" s="11" t="n">
        <x:f>'Consultas GSC'!C22</x:f>
        <x:v>31</x:v>
      </x:c>
      <x:c r="D34" s="12" t="n">
        <x:f>'Consultas GSC'!D22</x:f>
        <x:v>0.0323</x:v>
      </x:c>
      <x:c r="E34" s="13" t="n">
        <x:f>'Consultas GSC'!E22</x:f>
        <x:v>6.03</x:v>
      </x:c>
      <x:c r="F34" s="2" t="str">
        <x:f>IF(E34&lt;=10,IF(D34&lt;$C$6,"Primera página, CTR debajo del sitio","Primera página"),IF(E34&lt;=20,"Segunda página","Más allá de página 2"))</x:f>
        <x:v>Primera página, CTR debajo del sitio</x:v>
      </x:c>
      <x:c r="G34" s="2" t="str">
        <x:v>/productos/teja-colonial</x:v>
      </x:c>
      <x:c r="H34" s="52" t="str">
        <x:f>IF(E34&lt;=10,IF(D34&lt;$C$6,"Revisar título, descripción y ajuste a la intención","Mantener y reforzar enlaces internos"),"Reforzar contenido, enlaces y evidencia real")</x:f>
        <x:v>Revisar título, descripción y ajuste a la intención</x:v>
      </x:c>
      <x:c r="I34" s="53" t="str">
        <x:v>Pendiente</x:v>
      </x:c>
    </x:row>
  </x:sheetData>
  <x:conditionalFormatting sqref="F10:F34">
    <x:cfRule type="containsText" dxfId="0" priority="1" operator="containsText" text="Segunda página"/>
    <x:cfRule type="containsText" dxfId="1" priority="2" operator="containsText" text="CTR debajo"/>
  </x:conditionalFormatting>
  <x:dataValidations count="1">
    <x:dataValidation type="list" sqref="I10:I34">
      <x:formula1>"Pendiente,En curso,Hecho,Descartado"</x:formula1>
    </x:dataValidation>
  </x:dataValidations>
  <x:pageMargins left="0.7" right="0.7" top="0.75" bottom="0.75" header="0.3" footer="0.3"/>
  <x:drawing xmlns:r="http://schemas.openxmlformats.org/officeDocument/2006/relationships" r:id="R722b27c9e77a470b"/>
  <x:tableParts count="1">
    <x:tablePart xmlns:r="http://schemas.openxmlformats.org/officeDocument/2006/relationships" r:id="Rb8f1184dc6f040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.6700000762939453" hidden="0" customWidth="1"/>
    <x:col min="3" max="3" width="8.5600004196167" hidden="0" customWidth="1"/>
    <x:col min="4" max="4" width="5" hidden="0" customWidth="1"/>
    <x:col min="5" max="5" width="6.110000133514404" hidden="0" customWidth="1"/>
  </x:cols>
  <x:sheetData>
    <x:row r="1">
      <x:c r="A1" s="8" t="str">
        <x:v>Consultas principales</x:v>
      </x:c>
      <x:c r="B1" s="9" t="str">
        <x:v>Clics</x:v>
      </x:c>
      <x:c r="C1" s="9" t="str">
        <x:v>Impresiones</x:v>
      </x:c>
      <x:c r="D1" s="9" t="str">
        <x:v>CTR</x:v>
      </x:c>
      <x:c r="E1" s="10" t="str">
        <x:v>Posición</x:v>
      </x:c>
    </x:row>
    <x:row r="2">
      <x:c r="A2" s="2" t="str">
        <x:v>clay house</x:v>
      </x:c>
      <x:c r="B2" s="11" t="n">
        <x:v>70</x:v>
      </x:c>
      <x:c r="C2" s="11" t="n">
        <x:v>300</x:v>
      </x:c>
      <x:c r="D2" s="12" t="n">
        <x:v>0.23329999999999998</x:v>
      </x:c>
      <x:c r="E2" s="13" t="n">
        <x:v>1.99</x:v>
      </x:c>
    </x:row>
    <x:row r="3">
      <x:c r="A3" s="2" t="str">
        <x:v>clayhouse</x:v>
      </x:c>
      <x:c r="B3" s="11" t="n">
        <x:v>38</x:v>
      </x:c>
      <x:c r="C3" s="11" t="n">
        <x:v>142</x:v>
      </x:c>
      <x:c r="D3" s="12" t="n">
        <x:v>0.2676</x:v>
      </x:c>
      <x:c r="E3" s="13" t="n">
        <x:v>1.56</x:v>
      </x:c>
    </x:row>
    <x:row r="4">
      <x:c r="A4" s="2" t="str">
        <x:v>teja colonial</x:v>
      </x:c>
      <x:c r="B4" s="11" t="n">
        <x:v>14</x:v>
      </x:c>
      <x:c r="C4" s="11" t="n">
        <x:v>1367</x:v>
      </x:c>
      <x:c r="D4" s="12" t="n">
        <x:v>0.0102</x:v>
      </x:c>
      <x:c r="E4" s="13" t="n">
        <x:v>5.19</x:v>
      </x:c>
    </x:row>
    <x:row r="5">
      <x:c r="A5" s="2" t="str">
        <x:v>ladrillo cartagena</x:v>
      </x:c>
      <x:c r="B5" s="11" t="n">
        <x:v>9</x:v>
      </x:c>
      <x:c r="C5" s="11" t="n">
        <x:v>53</x:v>
      </x:c>
      <x:c r="D5" s="12" t="n">
        <x:v>0.1698</x:v>
      </x:c>
      <x:c r="E5" s="13" t="n">
        <x:v>3.64</x:v>
      </x:c>
    </x:row>
    <x:row r="6">
      <x:c r="A6" s="2" t="str">
        <x:v>ladrillo romano</x:v>
      </x:c>
      <x:c r="B6" s="11" t="n">
        <x:v>7</x:v>
      </x:c>
      <x:c r="C6" s="11" t="n">
        <x:v>105</x:v>
      </x:c>
      <x:c r="D6" s="12" t="n">
        <x:v>0.0667</x:v>
      </x:c>
      <x:c r="E6" s="13" t="n">
        <x:v>4.87</x:v>
      </x:c>
    </x:row>
    <x:row r="7">
      <x:c r="A7" s="2" t="str">
        <x:v>teja de barro colonial</x:v>
      </x:c>
      <x:c r="B7" s="11" t="n">
        <x:v>4</x:v>
      </x:c>
      <x:c r="C7" s="11" t="n">
        <x:v>115</x:v>
      </x:c>
      <x:c r="D7" s="12" t="n">
        <x:v>0.0348</x:v>
      </x:c>
      <x:c r="E7" s="13" t="n">
        <x:v>6.17</x:v>
      </x:c>
    </x:row>
    <x:row r="8">
      <x:c r="A8" s="2" t="str">
        <x:v>ladrillera amaga</x:v>
      </x:c>
      <x:c r="B8" s="11" t="n">
        <x:v>3</x:v>
      </x:c>
      <x:c r="C8" s="11" t="n">
        <x:v>41</x:v>
      </x:c>
      <x:c r="D8" s="12" t="n">
        <x:v>0.0732</x:v>
      </x:c>
      <x:c r="E8" s="13" t="n">
        <x:v>12.66</x:v>
      </x:c>
    </x:row>
    <x:row r="9">
      <x:c r="A9" s="2" t="str">
        <x:v>teja de barro</x:v>
      </x:c>
      <x:c r="B9" s="11" t="n">
        <x:v>2</x:v>
      </x:c>
      <x:c r="C9" s="11" t="n">
        <x:v>137</x:v>
      </x:c>
      <x:c r="D9" s="12" t="n">
        <x:v>0.0146</x:v>
      </x:c>
      <x:c r="E9" s="13" t="n">
        <x:v>15.34</x:v>
      </x:c>
    </x:row>
    <x:row r="10">
      <x:c r="A10" s="2" t="str">
        <x:v>ladrilleras en medellín precios</x:v>
      </x:c>
      <x:c r="B10" s="11" t="n">
        <x:v>2</x:v>
      </x:c>
      <x:c r="C10" s="11" t="n">
        <x:v>85</x:v>
      </x:c>
      <x:c r="D10" s="12" t="n">
        <x:v>0.0235</x:v>
      </x:c>
      <x:c r="E10" s="13" t="n">
        <x:v>11.48</x:v>
      </x:c>
    </x:row>
    <x:row r="11">
      <x:c r="A11" s="2" t="str">
        <x:v>teja plana</x:v>
      </x:c>
      <x:c r="B11" s="11" t="n">
        <x:v>2</x:v>
      </x:c>
      <x:c r="C11" s="11" t="n">
        <x:v>62</x:v>
      </x:c>
      <x:c r="D11" s="12" t="n">
        <x:v>0.0323</x:v>
      </x:c>
      <x:c r="E11" s="13" t="n">
        <x:v>10.42</x:v>
      </x:c>
    </x:row>
    <x:row r="12">
      <x:c r="A12" s="2" t="str">
        <x:v>ladrillo macizo</x:v>
      </x:c>
      <x:c r="B12" s="11" t="n">
        <x:v>2</x:v>
      </x:c>
      <x:c r="C12" s="11" t="n">
        <x:v>54</x:v>
      </x:c>
      <x:c r="D12" s="12" t="n">
        <x:v>0.037000000000000005</x:v>
      </x:c>
      <x:c r="E12" s="13" t="n">
        <x:v>37.74</x:v>
      </x:c>
    </x:row>
    <x:row r="13">
      <x:c r="A13" s="2" t="str">
        <x:v>teja plana de barro</x:v>
      </x:c>
      <x:c r="B13" s="11" t="n">
        <x:v>2</x:v>
      </x:c>
      <x:c r="C13" s="11" t="n">
        <x:v>49</x:v>
      </x:c>
      <x:c r="D13" s="12" t="n">
        <x:v>0.0408</x:v>
      </x:c>
      <x:c r="E13" s="13" t="n">
        <x:v>9.55</x:v>
      </x:c>
    </x:row>
    <x:row r="14">
      <x:c r="A14" s="2" t="str">
        <x:v>adobes decorativos</x:v>
      </x:c>
      <x:c r="B14" s="11" t="n">
        <x:v>2</x:v>
      </x:c>
      <x:c r="C14" s="11" t="n">
        <x:v>24</x:v>
      </x:c>
      <x:c r="D14" s="12" t="n">
        <x:v>0.0833</x:v>
      </x:c>
      <x:c r="E14" s="13" t="n">
        <x:v>8</x:v>
      </x:c>
    </x:row>
    <x:row r="15">
      <x:c r="A15" s="2" t="str">
        <x:v>ladrillos medellin</x:v>
      </x:c>
      <x:c r="B15" s="11" t="n">
        <x:v>2</x:v>
      </x:c>
      <x:c r="C15" s="11" t="n">
        <x:v>15</x:v>
      </x:c>
      <x:c r="D15" s="12" t="n">
        <x:v>0.1333</x:v>
      </x:c>
      <x:c r="E15" s="13" t="n">
        <x:v>12.4</x:v>
      </x:c>
    </x:row>
    <x:row r="16">
      <x:c r="A16" s="2" t="str">
        <x:v>tejas de barro precio medellín</x:v>
      </x:c>
      <x:c r="B16" s="11" t="n">
        <x:v>2</x:v>
      </x:c>
      <x:c r="C16" s="11" t="n">
        <x:v>6</x:v>
      </x:c>
      <x:c r="D16" s="12" t="n">
        <x:v>0.3333</x:v>
      </x:c>
      <x:c r="E16" s="13" t="n">
        <x:v>1.33</x:v>
      </x:c>
    </x:row>
    <x:row r="17">
      <x:c r="A17" s="2" t="str">
        <x:v>techo colonial</x:v>
      </x:c>
      <x:c r="B17" s="11" t="n">
        <x:v>1</x:v>
      </x:c>
      <x:c r="C17" s="11" t="n">
        <x:v>150</x:v>
      </x:c>
      <x:c r="D17" s="12" t="n">
        <x:v>0.0067</x:v>
      </x:c>
      <x:c r="E17" s="13" t="n">
        <x:v>7.3</x:v>
      </x:c>
    </x:row>
    <x:row r="18">
      <x:c r="A18" s="2" t="str">
        <x:v>ladrillo a la vista precio colombia</x:v>
      </x:c>
      <x:c r="B18" s="11" t="n">
        <x:v>1</x:v>
      </x:c>
      <x:c r="C18" s="11" t="n">
        <x:v>98</x:v>
      </x:c>
      <x:c r="D18" s="12" t="n">
        <x:v>0.0102</x:v>
      </x:c>
      <x:c r="E18" s="13" t="n">
        <x:v>7.28</x:v>
      </x:c>
    </x:row>
    <x:row r="19">
      <x:c r="A19" s="2" t="str">
        <x:v>tejas coloniales</x:v>
      </x:c>
      <x:c r="B19" s="11" t="n">
        <x:v>1</x:v>
      </x:c>
      <x:c r="C19" s="11" t="n">
        <x:v>75</x:v>
      </x:c>
      <x:c r="D19" s="12" t="n">
        <x:v>0.013300000000000001</x:v>
      </x:c>
      <x:c r="E19" s="13" t="n">
        <x:v>7.16</x:v>
      </x:c>
    </x:row>
    <x:row r="20">
      <x:c r="A20" s="2" t="str">
        <x:v>adobe catalan</x:v>
      </x:c>
      <x:c r="B20" s="11" t="n">
        <x:v>1</x:v>
      </x:c>
      <x:c r="C20" s="11" t="n">
        <x:v>51</x:v>
      </x:c>
      <x:c r="D20" s="12" t="n">
        <x:v>0.0196</x:v>
      </x:c>
      <x:c r="E20" s="13" t="n">
        <x:v>9.25</x:v>
      </x:c>
    </x:row>
    <x:row r="21">
      <x:c r="A21" s="2" t="str">
        <x:v>ladrillo para fachada precio</x:v>
      </x:c>
      <x:c r="B21" s="11" t="n">
        <x:v>1</x:v>
      </x:c>
      <x:c r="C21" s="11" t="n">
        <x:v>40</x:v>
      </x:c>
      <x:c r="D21" s="12" t="n">
        <x:v>0.025</x:v>
      </x:c>
      <x:c r="E21" s="13" t="n">
        <x:v>9.68</x:v>
      </x:c>
    </x:row>
    <x:row r="22">
      <x:c r="A22" s="2" t="str">
        <x:v>teja colonial barro</x:v>
      </x:c>
      <x:c r="B22" s="11" t="n">
        <x:v>1</x:v>
      </x:c>
      <x:c r="C22" s="11" t="n">
        <x:v>31</x:v>
      </x:c>
      <x:c r="D22" s="12" t="n">
        <x:v>0.0323</x:v>
      </x:c>
      <x:c r="E22" s="13" t="n">
        <x:v>6.03</x:v>
      </x:c>
    </x:row>
    <x:row r="23">
      <x:c r="A23" s="2" t="str">
        <x:v>ladrilleras medellin</x:v>
      </x:c>
      <x:c r="B23" s="11" t="n">
        <x:v>1</x:v>
      </x:c>
      <x:c r="C23" s="11" t="n">
        <x:v>26</x:v>
      </x:c>
      <x:c r="D23" s="12" t="n">
        <x:v>0.0385</x:v>
      </x:c>
      <x:c r="E23" s="13" t="n">
        <x:v>13.85</x:v>
      </x:c>
    </x:row>
    <x:row r="24">
      <x:c r="A24" s="2" t="str">
        <x:v>ladrillos a la vista precio</x:v>
      </x:c>
      <x:c r="B24" s="11" t="n">
        <x:v>1</x:v>
      </x:c>
      <x:c r="C24" s="11" t="n">
        <x:v>23</x:v>
      </x:c>
      <x:c r="D24" s="12" t="n">
        <x:v>0.0435</x:v>
      </x:c>
      <x:c r="E24" s="13" t="n">
        <x:v>8.91</x:v>
      </x:c>
    </x:row>
    <x:row r="25">
      <x:c r="A25" s="2" t="str">
        <x:v>alfarera</x:v>
      </x:c>
      <x:c r="B25" s="11" t="n">
        <x:v>1</x:v>
      </x:c>
      <x:c r="C25" s="11" t="n">
        <x:v>22</x:v>
      </x:c>
      <x:c r="D25" s="12" t="n">
        <x:v>0.0455</x:v>
      </x:c>
      <x:c r="E25" s="13" t="n">
        <x:v>4.32</x:v>
      </x:c>
    </x:row>
    <x:row r="26">
      <x:c r="A26" s="2" t="str">
        <x:v>ladrillo vertical</x:v>
      </x:c>
      <x:c r="B26" s="11" t="n">
        <x:v>1</x:v>
      </x:c>
      <x:c r="C26" s="11" t="n">
        <x:v>21</x:v>
      </x:c>
      <x:c r="D26" s="12" t="n">
        <x:v>0.047599999999999996</x:v>
      </x:c>
      <x:c r="E26" s="13" t="n">
        <x:v>10.48</x:v>
      </x:c>
    </x:row>
    <x:row r="27">
      <x:c r="A27" s="2" t="str">
        <x:v>tejas de barro</x:v>
      </x:c>
      <x:c r="B27" s="11" t="n">
        <x:v>1</x:v>
      </x:c>
      <x:c r="C27" s="11" t="n">
        <x:v>17</x:v>
      </x:c>
      <x:c r="D27" s="12" t="n">
        <x:v>0.0588</x:v>
      </x:c>
      <x:c r="E27" s="13" t="n">
        <x:v>15.12</x:v>
      </x:c>
    </x:row>
    <x:row r="28">
      <x:c r="A28" s="2" t="str">
        <x:v>teja colonial precio</x:v>
      </x:c>
      <x:c r="B28" s="11" t="n">
        <x:v>1</x:v>
      </x:c>
      <x:c r="C28" s="11" t="n">
        <x:v>16</x:v>
      </x:c>
      <x:c r="D28" s="12" t="n">
        <x:v>0.0625</x:v>
      </x:c>
      <x:c r="E28" s="13" t="n">
        <x:v>10.06</x:v>
      </x:c>
    </x:row>
    <x:row r="29">
      <x:c r="A29" s="2" t="str">
        <x:v>tejas de barro precio</x:v>
      </x:c>
      <x:c r="B29" s="11" t="n">
        <x:v>1</x:v>
      </x:c>
      <x:c r="C29" s="11" t="n">
        <x:v>9</x:v>
      </x:c>
      <x:c r="D29" s="12" t="n">
        <x:v>0.11109999999999999</x:v>
      </x:c>
      <x:c r="E29" s="13" t="n">
        <x:v>5.67</x:v>
      </x:c>
    </x:row>
    <x:row r="30">
      <x:c r="A30" s="2" t="str">
        <x:v>ladrillera san fernando</x:v>
      </x:c>
      <x:c r="B30" s="11" t="n">
        <x:v>1</x:v>
      </x:c>
      <x:c r="C30" s="11" t="n">
        <x:v>9</x:v>
      </x:c>
      <x:c r="D30" s="12" t="n">
        <x:v>0.11109999999999999</x:v>
      </x:c>
      <x:c r="E30" s="13" t="n">
        <x:v>5.78</x:v>
      </x:c>
    </x:row>
    <x:row r="31">
      <x:c r="A31" s="2" t="str">
        <x:v>ladrillo artesanal</x:v>
      </x:c>
      <x:c r="B31" s="11" t="n">
        <x:v>1</x:v>
      </x:c>
      <x:c r="C31" s="11" t="n">
        <x:v>9</x:v>
      </x:c>
      <x:c r="D31" s="12" t="n">
        <x:v>0.11109999999999999</x:v>
      </x:c>
      <x:c r="E31" s="13" t="n">
        <x:v>6</x:v>
      </x:c>
    </x:row>
    <x:row r="32">
      <x:c r="A32" s="2" t="str">
        <x:v>ladrillo fachada</x:v>
      </x:c>
      <x:c r="B32" s="11" t="n">
        <x:v>1</x:v>
      </x:c>
      <x:c r="C32" s="11" t="n">
        <x:v>9</x:v>
      </x:c>
      <x:c r="D32" s="12" t="n">
        <x:v>0.11109999999999999</x:v>
      </x:c>
      <x:c r="E32" s="13" t="n">
        <x:v>17.44</x:v>
      </x:c>
    </x:row>
    <x:row r="33">
      <x:c r="A33" s="2" t="str">
        <x:v>piso en barro</x:v>
      </x:c>
      <x:c r="B33" s="11" t="n">
        <x:v>1</x:v>
      </x:c>
      <x:c r="C33" s="11" t="n">
        <x:v>8</x:v>
      </x:c>
      <x:c r="D33" s="12" t="n">
        <x:v>0.125</x:v>
      </x:c>
      <x:c r="E33" s="13" t="n">
        <x:v>4.62</x:v>
      </x:c>
    </x:row>
    <x:row r="34">
      <x:c r="A34" s="2" t="str">
        <x:v>tejas de barro planas</x:v>
      </x:c>
      <x:c r="B34" s="11" t="n">
        <x:v>1</x:v>
      </x:c>
      <x:c r="C34" s="11" t="n">
        <x:v>6</x:v>
      </x:c>
      <x:c r="D34" s="12" t="n">
        <x:v>0.16670000000000001</x:v>
      </x:c>
      <x:c r="E34" s="13" t="n">
        <x:v>6.5</x:v>
      </x:c>
    </x:row>
    <x:row r="35">
      <x:c r="A35" s="2" t="str">
        <x:v>teja barro plana</x:v>
      </x:c>
      <x:c r="B35" s="11" t="n">
        <x:v>1</x:v>
      </x:c>
      <x:c r="C35" s="11" t="n">
        <x:v>6</x:v>
      </x:c>
      <x:c r="D35" s="12" t="n">
        <x:v>0.16670000000000001</x:v>
      </x:c>
      <x:c r="E35" s="13" t="n">
        <x:v>8.33</x:v>
      </x:c>
    </x:row>
    <x:row r="36">
      <x:c r="A36" s="2" t="str">
        <x:v>enchape de ladrillo rustico</x:v>
      </x:c>
      <x:c r="B36" s="11" t="n">
        <x:v>1</x:v>
      </x:c>
      <x:c r="C36" s="11" t="n">
        <x:v>4</x:v>
      </x:c>
      <x:c r="D36" s="12" t="n">
        <x:v>0.25</x:v>
      </x:c>
      <x:c r="E36" s="13" t="n">
        <x:v>8.25</x:v>
      </x:c>
    </x:row>
    <x:row r="37">
      <x:c r="A37" s="2" t="str">
        <x:v>teja tipo colonial precio</x:v>
      </x:c>
      <x:c r="B37" s="11" t="n">
        <x:v>1</x:v>
      </x:c>
      <x:c r="C37" s="11" t="n">
        <x:v>3</x:v>
      </x:c>
      <x:c r="D37" s="12" t="n">
        <x:v>0.3333</x:v>
      </x:c>
      <x:c r="E37" s="13" t="n">
        <x:v>1.67</x:v>
      </x:c>
    </x:row>
    <x:row r="38">
      <x:c r="A38" s="2" t="str">
        <x:v>piso de barro artesanal</x:v>
      </x:c>
      <x:c r="B38" s="11" t="n">
        <x:v>1</x:v>
      </x:c>
      <x:c r="C38" s="11" t="n">
        <x:v>3</x:v>
      </x:c>
      <x:c r="D38" s="12" t="n">
        <x:v>0.3333</x:v>
      </x:c>
      <x:c r="E38" s="13" t="n">
        <x:v>7.67</x:v>
      </x:c>
    </x:row>
    <x:row r="39">
      <x:c r="A39" s="2" t="str">
        <x:v>house clay</x:v>
      </x:c>
      <x:c r="B39" s="11" t="n">
        <x:v>1</x:v>
      </x:c>
      <x:c r="C39" s="11" t="n">
        <x:v>2</x:v>
      </x:c>
      <x:c r="D39" s="12" t="n">
        <x:v>0.5</x:v>
      </x:c>
      <x:c r="E39" s="13" t="n">
        <x:v>4.5</x:v>
      </x:c>
    </x:row>
    <x:row r="40">
      <x:c r="A40" s="2" t="str">
        <x:v>clay hose</x:v>
      </x:c>
      <x:c r="B40" s="11" t="n">
        <x:v>1</x:v>
      </x:c>
      <x:c r="C40" s="11" t="n">
        <x:v>2</x:v>
      </x:c>
      <x:c r="D40" s="12" t="n">
        <x:v>0.5</x:v>
      </x:c>
      <x:c r="E40" s="13" t="n">
        <x:v>5.5</x:v>
      </x:c>
    </x:row>
    <x:row r="41">
      <x:c r="A41" s="2" t="str">
        <x:v>tejas de barro para techo</x:v>
      </x:c>
      <x:c r="B41" s="11" t="n">
        <x:v>1</x:v>
      </x:c>
      <x:c r="C41" s="11" t="n">
        <x:v>2</x:v>
      </x:c>
      <x:c r="D41" s="12" t="n">
        <x:v>0.5</x:v>
      </x:c>
      <x:c r="E41" s="13" t="n">
        <x:v>6.5</x:v>
      </x:c>
    </x:row>
    <x:row r="42">
      <x:c r="A42" s="2" t="str">
        <x:v>tipos de tejas coloniales</x:v>
      </x:c>
      <x:c r="B42" s="11" t="n">
        <x:v>1</x:v>
      </x:c>
      <x:c r="C42" s="11" t="n">
        <x:v>2</x:v>
      </x:c>
      <x:c r="D42" s="12" t="n">
        <x:v>0.5</x:v>
      </x:c>
      <x:c r="E42" s="13" t="n">
        <x:v>9.5</x:v>
      </x:c>
    </x:row>
    <x:row r="43">
      <x:c r="A43" s="2" t="str">
        <x:v>venta de ladrillos al por mayor</x:v>
      </x:c>
      <x:c r="B43" s="11" t="n">
        <x:v>1</x:v>
      </x:c>
      <x:c r="C43" s="11" t="n">
        <x:v>2</x:v>
      </x:c>
      <x:c r="D43" s="12" t="n">
        <x:v>0.5</x:v>
      </x:c>
      <x:c r="E43" s="13" t="n">
        <x:v>13</x:v>
      </x:c>
    </x:row>
    <x:row r="44">
      <x:c r="A44" s="2" t="str">
        <x:v>ladrillos fachada</x:v>
      </x:c>
      <x:c r="B44" s="11" t="n">
        <x:v>1</x:v>
      </x:c>
      <x:c r="C44" s="11" t="n">
        <x:v>2</x:v>
      </x:c>
      <x:c r="D44" s="12" t="n">
        <x:v>0.5</x:v>
      </x:c>
      <x:c r="E44" s="13" t="n">
        <x:v>16.5</x:v>
      </x:c>
    </x:row>
    <x:row r="45">
      <x:c r="A45" s="2" t="str">
        <x:v>1 cm</x:v>
      </x:c>
      <x:c r="B45" s="11" t="n">
        <x:v>1</x:v>
      </x:c>
      <x:c r="C45" s="11" t="n">
        <x:v>1</x:v>
      </x:c>
      <x:c r="D45" s="12" t="n">
        <x:v>1</x:v>
      </x:c>
      <x:c r="E45" s="13" t="n">
        <x:v>1</x:v>
      </x:c>
    </x:row>
    <x:row r="46">
      <x:c r="A46" s="2" t="str">
        <x:v>precios estimado</x:v>
      </x:c>
      <x:c r="B46" s="11" t="n">
        <x:v>1</x:v>
      </x:c>
      <x:c r="C46" s="11" t="n">
        <x:v>1</x:v>
      </x:c>
      <x:c r="D46" s="12" t="n">
        <x:v>1</x:v>
      </x:c>
      <x:c r="E46" s="13" t="n">
        <x:v>1</x:v>
      </x:c>
    </x:row>
    <x:row r="47">
      <x:c r="A47" s="2" t="str">
        <x:v>product</x:v>
      </x:c>
      <x:c r="B47" s="11" t="n">
        <x:v>1</x:v>
      </x:c>
      <x:c r="C47" s="11" t="n">
        <x:v>1</x:v>
      </x:c>
      <x:c r="D47" s="12" t="n">
        <x:v>1</x:v>
      </x:c>
      <x:c r="E47" s="13" t="n">
        <x:v>1</x:v>
      </x:c>
    </x:row>
    <x:row r="48">
      <x:c r="A48" s="2" t="str">
        <x:v>venta de tejas coloniales</x:v>
      </x:c>
      <x:c r="B48" s="11" t="n">
        <x:v>1</x:v>
      </x:c>
      <x:c r="C48" s="11" t="n">
        <x:v>1</x:v>
      </x:c>
      <x:c r="D48" s="12" t="n">
        <x:v>1</x:v>
      </x:c>
      <x:c r="E48" s="13" t="n">
        <x:v>2</x:v>
      </x:c>
    </x:row>
    <x:row r="49">
      <x:c r="A49" s="2" t="str">
        <x:v>venta en medellin</x:v>
      </x:c>
      <x:c r="B49" s="11" t="n">
        <x:v>1</x:v>
      </x:c>
      <x:c r="C49" s="11" t="n">
        <x:v>1</x:v>
      </x:c>
      <x:c r="D49" s="12" t="n">
        <x:v>1</x:v>
      </x:c>
      <x:c r="E49" s="13" t="n">
        <x:v>2</x:v>
      </x:c>
    </x:row>
    <x:row r="50">
      <x:c r="A50" s="2" t="str">
        <x:v>casa clay</x:v>
      </x:c>
      <x:c r="B50" s="11" t="n">
        <x:v>1</x:v>
      </x:c>
      <x:c r="C50" s="11" t="n">
        <x:v>1</x:v>
      </x:c>
      <x:c r="D50" s="12" t="n">
        <x:v>1</x:v>
      </x:c>
      <x:c r="E50" s="13" t="n">
        <x:v>3</x:v>
      </x:c>
    </x:row>
    <x:row r="51">
      <x:c r="A51" s="2" t="str">
        <x:v>tabicon ligero precio</x:v>
      </x:c>
      <x:c r="B51" s="11" t="n">
        <x:v>1</x:v>
      </x:c>
      <x:c r="C51" s="11" t="n">
        <x:v>1</x:v>
      </x:c>
      <x:c r="D51" s="12" t="n">
        <x:v>1</x:v>
      </x:c>
      <x:c r="E51" s="13" t="n">
        <x:v>3</x:v>
      </x:c>
    </x:row>
    <x:row r="52">
      <x:c r="A52" s="2" t="str">
        <x:v>teja de barro española precio</x:v>
      </x:c>
      <x:c r="B52" s="11" t="n">
        <x:v>1</x:v>
      </x:c>
      <x:c r="C52" s="11" t="n">
        <x:v>1</x:v>
      </x:c>
      <x:c r="D52" s="12" t="n">
        <x:v>1</x:v>
      </x:c>
      <x:c r="E52" s="13" t="n">
        <x:v>3</x:v>
      </x:c>
    </x:row>
    <x:row r="53">
      <x:c r="A53" s="2" t="str">
        <x:v>teja plana negra</x:v>
      </x:c>
      <x:c r="B53" s="11" t="n">
        <x:v>1</x:v>
      </x:c>
      <x:c r="C53" s="11" t="n">
        <x:v>1</x:v>
      </x:c>
      <x:c r="D53" s="12" t="n">
        <x:v>1</x:v>
      </x:c>
      <x:c r="E53" s="13" t="n">
        <x:v>3</x:v>
      </x:c>
    </x:row>
    <x:row r="54">
      <x:c r="A54" s="2" t="str">
        <x:v>piso tipo ladrillo para exterior</x:v>
      </x:c>
      <x:c r="B54" s="11" t="n">
        <x:v>1</x:v>
      </x:c>
      <x:c r="C54" s="11" t="n">
        <x:v>1</x:v>
      </x:c>
      <x:c r="D54" s="12" t="n">
        <x:v>1</x:v>
      </x:c>
      <x:c r="E54" s="13" t="n">
        <x:v>4</x:v>
      </x:c>
    </x:row>
    <x:row r="55">
      <x:c r="A55" s="2" t="str">
        <x:v>ladrillo delgado para fachada</x:v>
      </x:c>
      <x:c r="B55" s="11" t="n">
        <x:v>1</x:v>
      </x:c>
      <x:c r="C55" s="11" t="n">
        <x:v>1</x:v>
      </x:c>
      <x:c r="D55" s="12" t="n">
        <x:v>1</x:v>
      </x:c>
      <x:c r="E55" s="13" t="n">
        <x:v>12</x:v>
      </x:c>
    </x:row>
    <x:row r="56">
      <x:c r="A56" s="2" t="str">
        <x:v>ladrillo a la vista precio</x:v>
      </x:c>
      <x:c r="B56" s="11" t="n">
        <x:v>0</x:v>
      </x:c>
      <x:c r="C56" s="11" t="n">
        <x:v>176</x:v>
      </x:c>
      <x:c r="D56" s="12" t="n">
        <x:v>0</x:v>
      </x:c>
      <x:c r="E56" s="13" t="n">
        <x:v>8.61</x:v>
      </x:c>
    </x:row>
    <x:row r="57">
      <x:c r="A57" s="2" t="str">
        <x:v>enchapes</x:v>
      </x:c>
      <x:c r="B57" s="11" t="n">
        <x:v>0</x:v>
      </x:c>
      <x:c r="C57" s="11" t="n">
        <x:v>75</x:v>
      </x:c>
      <x:c r="D57" s="12" t="n">
        <x:v>0</x:v>
      </x:c>
      <x:c r="E57" s="13" t="n">
        <x:v>29.68</x:v>
      </x:c>
    </x:row>
    <x:row r="58">
      <x:c r="A58" s="2" t="str">
        <x:v>ladrilleras antioquia</x:v>
      </x:c>
      <x:c r="B58" s="11" t="n">
        <x:v>0</x:v>
      </x:c>
      <x:c r="C58" s="11" t="n">
        <x:v>68</x:v>
      </x:c>
      <x:c r="D58" s="12" t="n">
        <x:v>0</x:v>
      </x:c>
      <x:c r="E58" s="13" t="n">
        <x:v>52.68</x:v>
      </x:c>
    </x:row>
    <x:row r="59">
      <x:c r="A59" s="2" t="str">
        <x:v>ladrillo rayado</x:v>
      </x:c>
      <x:c r="B59" s="11" t="n">
        <x:v>0</x:v>
      </x:c>
      <x:c r="C59" s="11" t="n">
        <x:v>58</x:v>
      </x:c>
      <x:c r="D59" s="12" t="n">
        <x:v>0</x:v>
      </x:c>
      <x:c r="E59" s="13" t="n">
        <x:v>5.69</x:v>
      </x:c>
    </x:row>
    <x:row r="60">
      <x:c r="A60" s="2" t="str">
        <x:v>precio ladrillo a la vista</x:v>
      </x:c>
      <x:c r="B60" s="11" t="n">
        <x:v>0</x:v>
      </x:c>
      <x:c r="C60" s="11" t="n">
        <x:v>55</x:v>
      </x:c>
      <x:c r="D60" s="12" t="n">
        <x:v>0</x:v>
      </x:c>
      <x:c r="E60" s="13" t="n">
        <x:v>8.02</x:v>
      </x:c>
    </x:row>
    <x:row r="61">
      <x:c r="A61" s="2" t="str">
        <x:v>enchape ladrillo</x:v>
      </x:c>
      <x:c r="B61" s="11" t="n">
        <x:v>0</x:v>
      </x:c>
      <x:c r="C61" s="11" t="n">
        <x:v>45</x:v>
      </x:c>
      <x:c r="D61" s="12" t="n">
        <x:v>0</x:v>
      </x:c>
      <x:c r="E61" s="13" t="n">
        <x:v>17.42</x:v>
      </x:c>
    </x:row>
    <x:row r="62">
      <x:c r="A62" s="2" t="str">
        <x:v>teja colonial de barro</x:v>
      </x:c>
      <x:c r="B62" s="11" t="n">
        <x:v>0</x:v>
      </x:c>
      <x:c r="C62" s="11" t="n">
        <x:v>44</x:v>
      </x:c>
      <x:c r="D62" s="12" t="n">
        <x:v>0</x:v>
      </x:c>
      <x:c r="E62" s="13" t="n">
        <x:v>5.18</x:v>
      </x:c>
    </x:row>
    <x:row r="63">
      <x:c r="A63" s="2" t="str">
        <x:v>tejas planas</x:v>
      </x:c>
      <x:c r="B63" s="11" t="n">
        <x:v>0</x:v>
      </x:c>
      <x:c r="C63" s="11" t="n">
        <x:v>44</x:v>
      </x:c>
      <x:c r="D63" s="12" t="n">
        <x:v>0</x:v>
      </x:c>
      <x:c r="E63" s="13" t="n">
        <x:v>5.59</x:v>
      </x:c>
    </x:row>
    <x:row r="64">
      <x:c r="A64" s="2" t="str">
        <x:v>techo colonial exterior</x:v>
      </x:c>
      <x:c r="B64" s="11" t="n">
        <x:v>0</x:v>
      </x:c>
      <x:c r="C64" s="11" t="n">
        <x:v>43</x:v>
      </x:c>
      <x:c r="D64" s="12" t="n">
        <x:v>0</x:v>
      </x:c>
      <x:c r="E64" s="13" t="n">
        <x:v>10.51</x:v>
      </x:c>
    </x:row>
    <x:row r="65">
      <x:c r="A65" s="2" t="str">
        <x:v>precio de ladrillo a la vista</x:v>
      </x:c>
      <x:c r="B65" s="11" t="n">
        <x:v>0</x:v>
      </x:c>
      <x:c r="C65" s="11" t="n">
        <x:v>42</x:v>
      </x:c>
      <x:c r="D65" s="12" t="n">
        <x:v>0</x:v>
      </x:c>
      <x:c r="E65" s="13" t="n">
        <x:v>7.55</x:v>
      </x:c>
    </x:row>
    <x:row r="66">
      <x:c r="A66" s="2" t="str">
        <x:v>ladrillo ala vista precio</x:v>
      </x:c>
      <x:c r="B66" s="11" t="n">
        <x:v>0</x:v>
      </x:c>
      <x:c r="C66" s="11" t="n">
        <x:v>36</x:v>
      </x:c>
      <x:c r="D66" s="12" t="n">
        <x:v>0</x:v>
      </x:c>
      <x:c r="E66" s="13" t="n">
        <x:v>7.19</x:v>
      </x:c>
    </x:row>
    <x:row r="67">
      <x:c r="A67" s="2" t="str">
        <x:v>teja de barro plana</x:v>
      </x:c>
      <x:c r="B67" s="11" t="n">
        <x:v>0</x:v>
      </x:c>
      <x:c r="C67" s="11" t="n">
        <x:v>36</x:v>
      </x:c>
      <x:c r="D67" s="12" t="n">
        <x:v>0</x:v>
      </x:c>
      <x:c r="E67" s="13" t="n">
        <x:v>10.11</x:v>
      </x:c>
    </x:row>
    <x:row r="68">
      <x:c r="A68" s="2" t="str">
        <x:v>teja de barro precio</x:v>
      </x:c>
      <x:c r="B68" s="11" t="n">
        <x:v>0</x:v>
      </x:c>
      <x:c r="C68" s="11" t="n">
        <x:v>31</x:v>
      </x:c>
      <x:c r="D68" s="12" t="n">
        <x:v>0</x:v>
      </x:c>
      <x:c r="E68" s="13" t="n">
        <x:v>6.58</x:v>
      </x:c>
    </x:row>
    <x:row r="69">
      <x:c r="A69" s="2" t="str">
        <x:v>enchape tipo ladrillo</x:v>
      </x:c>
      <x:c r="B69" s="11" t="n">
        <x:v>0</x:v>
      </x:c>
      <x:c r="C69" s="11" t="n">
        <x:v>29</x:v>
      </x:c>
      <x:c r="D69" s="12" t="n">
        <x:v>0</x:v>
      </x:c>
      <x:c r="E69" s="13" t="n">
        <x:v>6.45</x:v>
      </x:c>
    </x:row>
    <x:row r="70">
      <x:c r="A70" s="2" t="str">
        <x:v>teja plan</x:v>
      </x:c>
      <x:c r="B70" s="11" t="n">
        <x:v>0</x:v>
      </x:c>
      <x:c r="C70" s="11" t="n">
        <x:v>26</x:v>
      </x:c>
      <x:c r="D70" s="12" t="n">
        <x:v>0</x:v>
      </x:c>
      <x:c r="E70" s="13" t="n">
        <x:v>21.35</x:v>
      </x:c>
    </x:row>
    <x:row r="71">
      <x:c r="A71" s="2" t="str">
        <x:v>teja tipo colonial</x:v>
      </x:c>
      <x:c r="B71" s="11" t="n">
        <x:v>0</x:v>
      </x:c>
      <x:c r="C71" s="11" t="n">
        <x:v>25</x:v>
      </x:c>
      <x:c r="D71" s="12" t="n">
        <x:v>0</x:v>
      </x:c>
      <x:c r="E71" s="13" t="n">
        <x:v>5.24</x:v>
      </x:c>
    </x:row>
    <x:row r="72">
      <x:c r="A72" s="2" t="str">
        <x:v>ladrillo catalán precio</x:v>
      </x:c>
      <x:c r="B72" s="11" t="n">
        <x:v>0</x:v>
      </x:c>
      <x:c r="C72" s="11" t="n">
        <x:v>25</x:v>
      </x:c>
      <x:c r="D72" s="12" t="n">
        <x:v>0</x:v>
      </x:c>
      <x:c r="E72" s="13" t="n">
        <x:v>7.6</x:v>
      </x:c>
    </x:row>
    <x:row r="73">
      <x:c r="A73" s="2" t="str">
        <x:v>ladrillo catalan</x:v>
      </x:c>
      <x:c r="B73" s="11" t="n">
        <x:v>0</x:v>
      </x:c>
      <x:c r="C73" s="11" t="n">
        <x:v>25</x:v>
      </x:c>
      <x:c r="D73" s="12" t="n">
        <x:v>0</x:v>
      </x:c>
      <x:c r="E73" s="13" t="n">
        <x:v>9.8</x:v>
      </x:c>
    </x:row>
    <x:row r="74">
      <x:c r="A74" s="2" t="str">
        <x:v>clay</x:v>
      </x:c>
      <x:c r="B74" s="11" t="n">
        <x:v>0</x:v>
      </x:c>
      <x:c r="C74" s="11" t="n">
        <x:v>24</x:v>
      </x:c>
      <x:c r="D74" s="12" t="n">
        <x:v>0</x:v>
      </x:c>
      <x:c r="E74" s="13" t="n">
        <x:v>8.33</x:v>
      </x:c>
    </x:row>
    <x:row r="75">
      <x:c r="A75" s="2" t="str">
        <x:v>ladrillo toscano</x:v>
      </x:c>
      <x:c r="B75" s="11" t="n">
        <x:v>0</x:v>
      </x:c>
      <x:c r="C75" s="11" t="n">
        <x:v>21</x:v>
      </x:c>
      <x:c r="D75" s="12" t="n">
        <x:v>0</x:v>
      </x:c>
      <x:c r="E75" s="13" t="n">
        <x:v>3.43</x:v>
      </x:c>
    </x:row>
    <x:row r="76">
      <x:c r="A76" s="2" t="str">
        <x:v>ladrillo horizontal</x:v>
      </x:c>
      <x:c r="B76" s="11" t="n">
        <x:v>0</x:v>
      </x:c>
      <x:c r="C76" s="11" t="n">
        <x:v>21</x:v>
      </x:c>
      <x:c r="D76" s="12" t="n">
        <x:v>0</x:v>
      </x:c>
      <x:c r="E76" s="13" t="n">
        <x:v>4.95</x:v>
      </x:c>
    </x:row>
    <x:row r="77">
      <x:c r="A77" s="2" t="str">
        <x:v>ladrillo visto precio</x:v>
      </x:c>
      <x:c r="B77" s="11" t="n">
        <x:v>0</x:v>
      </x:c>
      <x:c r="C77" s="11" t="n">
        <x:v>21</x:v>
      </x:c>
      <x:c r="D77" s="12" t="n">
        <x:v>0</x:v>
      </x:c>
      <x:c r="E77" s="13" t="n">
        <x:v>7.29</x:v>
      </x:c>
    </x:row>
    <x:row r="78">
      <x:c r="A78" s="2" t="str">
        <x:v>teja de barro medidas</x:v>
      </x:c>
      <x:c r="B78" s="11" t="n">
        <x:v>0</x:v>
      </x:c>
      <x:c r="C78" s="11" t="n">
        <x:v>21</x:v>
      </x:c>
      <x:c r="D78" s="12" t="n">
        <x:v>0</x:v>
      </x:c>
      <x:c r="E78" s="13" t="n">
        <x:v>15.48</x:v>
      </x:c>
    </x:row>
    <x:row r="79">
      <x:c r="A79" s="2" t="str">
        <x:v>ladrillo catalan fachada</x:v>
      </x:c>
      <x:c r="B79" s="11" t="n">
        <x:v>0</x:v>
      </x:c>
      <x:c r="C79" s="11" t="n">
        <x:v>20</x:v>
      </x:c>
      <x:c r="D79" s="12" t="n">
        <x:v>0</x:v>
      </x:c>
      <x:c r="E79" s="13" t="n">
        <x:v>7.95</x:v>
      </x:c>
    </x:row>
    <x:row r="80">
      <x:c r="A80" s="2" t="str">
        <x:v>adobe catalán precio</x:v>
      </x:c>
      <x:c r="B80" s="11" t="n">
        <x:v>0</x:v>
      </x:c>
      <x:c r="C80" s="11" t="n">
        <x:v>20</x:v>
      </x:c>
      <x:c r="D80" s="12" t="n">
        <x:v>0</x:v>
      </x:c>
      <x:c r="E80" s="13" t="n">
        <x:v>9.1</x:v>
      </x:c>
    </x:row>
    <x:row r="81">
      <x:c r="A81" s="2" t="str">
        <x:v>textura teja colonial</x:v>
      </x:c>
      <x:c r="B81" s="11" t="n">
        <x:v>0</x:v>
      </x:c>
      <x:c r="C81" s="11" t="n">
        <x:v>18</x:v>
      </x:c>
      <x:c r="D81" s="12" t="n">
        <x:v>0</x:v>
      </x:c>
      <x:c r="E81" s="13" t="n">
        <x:v>3.61</x:v>
      </x:c>
    </x:row>
    <x:row r="82">
      <x:c r="A82" s="2" t="str">
        <x:v>medidas de una teja de barro</x:v>
      </x:c>
      <x:c r="B82" s="11" t="n">
        <x:v>0</x:v>
      </x:c>
      <x:c r="C82" s="11" t="n">
        <x:v>18</x:v>
      </x:c>
      <x:c r="D82" s="12" t="n">
        <x:v>0</x:v>
      </x:c>
      <x:c r="E82" s="13" t="n">
        <x:v>7.22</x:v>
      </x:c>
    </x:row>
    <x:row r="83">
      <x:c r="A83" s="2" t="str">
        <x:v>teja roja colonial</x:v>
      </x:c>
      <x:c r="B83" s="11" t="n">
        <x:v>0</x:v>
      </x:c>
      <x:c r="C83" s="11" t="n">
        <x:v>17</x:v>
      </x:c>
      <x:c r="D83" s="12" t="n">
        <x:v>0</x:v>
      </x:c>
      <x:c r="E83" s="13" t="n">
        <x:v>3.29</x:v>
      </x:c>
    </x:row>
    <x:row r="84">
      <x:c r="A84" s="2" t="str">
        <x:v>ladrillo ala vista precio colombia</x:v>
      </x:c>
      <x:c r="B84" s="11" t="n">
        <x:v>0</x:v>
      </x:c>
      <x:c r="C84" s="11" t="n">
        <x:v>17</x:v>
      </x:c>
      <x:c r="D84" s="12" t="n">
        <x:v>0</x:v>
      </x:c>
      <x:c r="E84" s="13" t="n">
        <x:v>6.47</x:v>
      </x:c>
    </x:row>
    <x:row r="85">
      <x:c r="A85" s="2" t="str">
        <x:v>ladrillo 15x3 cm rayado</x:v>
      </x:c>
      <x:c r="B85" s="11" t="n">
        <x:v>0</x:v>
      </x:c>
      <x:c r="C85" s="11" t="n">
        <x:v>17</x:v>
      </x:c>
      <x:c r="D85" s="12" t="n">
        <x:v>0</x:v>
      </x:c>
      <x:c r="E85" s="13" t="n">
        <x:v>6.76</x:v>
      </x:c>
    </x:row>
    <x:row r="86">
      <x:c r="A86" s="2" t="str">
        <x:v>enchape de ladrillo</x:v>
      </x:c>
      <x:c r="B86" s="11" t="n">
        <x:v>0</x:v>
      </x:c>
      <x:c r="C86" s="11" t="n">
        <x:v>16</x:v>
      </x:c>
      <x:c r="D86" s="12" t="n">
        <x:v>0</x:v>
      </x:c>
      <x:c r="E86" s="13" t="n">
        <x:v>3.44</x:v>
      </x:c>
    </x:row>
    <x:row r="87">
      <x:c r="A87" s="2" t="str">
        <x:v>ladrillo rallado</x:v>
      </x:c>
      <x:c r="B87" s="11" t="n">
        <x:v>0</x:v>
      </x:c>
      <x:c r="C87" s="11" t="n">
        <x:v>16</x:v>
      </x:c>
      <x:c r="D87" s="12" t="n">
        <x:v>0</x:v>
      </x:c>
      <x:c r="E87" s="13" t="n">
        <x:v>6.5</x:v>
      </x:c>
    </x:row>
    <x:row r="88">
      <x:c r="A88" s="2" t="str">
        <x:v>enchape rustico</x:v>
      </x:c>
      <x:c r="B88" s="11" t="n">
        <x:v>0</x:v>
      </x:c>
      <x:c r="C88" s="11" t="n">
        <x:v>16</x:v>
      </x:c>
      <x:c r="D88" s="12" t="n">
        <x:v>0</x:v>
      </x:c>
      <x:c r="E88" s="13" t="n">
        <x:v>7.31</x:v>
      </x:c>
    </x:row>
    <x:row r="89">
      <x:c r="A89" s="2" t="str">
        <x:v>teja plana para techo</x:v>
      </x:c>
      <x:c r="B89" s="11" t="n">
        <x:v>0</x:v>
      </x:c>
      <x:c r="C89" s="11" t="n">
        <x:v>16</x:v>
      </x:c>
      <x:c r="D89" s="12" t="n">
        <x:v>0</x:v>
      </x:c>
      <x:c r="E89" s="13" t="n">
        <x:v>10.88</x:v>
      </x:c>
    </x:row>
    <x:row r="90">
      <x:c r="A90" s="2" t="str">
        <x:v>tejas colonial</x:v>
      </x:c>
      <x:c r="B90" s="11" t="n">
        <x:v>0</x:v>
      </x:c>
      <x:c r="C90" s="11" t="n">
        <x:v>16</x:v>
      </x:c>
      <x:c r="D90" s="12" t="n">
        <x:v>0</x:v>
      </x:c>
      <x:c r="E90" s="13" t="n">
        <x:v>20.5</x:v>
      </x:c>
    </x:row>
    <x:row r="91">
      <x:c r="A91" s="2" t="str">
        <x:v>piso de barro</x:v>
      </x:c>
      <x:c r="B91" s="11" t="n">
        <x:v>0</x:v>
      </x:c>
      <x:c r="C91" s="11" t="n">
        <x:v>15</x:v>
      </x:c>
      <x:c r="D91" s="12" t="n">
        <x:v>0</x:v>
      </x:c>
      <x:c r="E91" s="13" t="n">
        <x:v>5.8</x:v>
      </x:c>
    </x:row>
    <x:row r="92">
      <x:c r="A92" s="2" t="str">
        <x:v>ladrillera la clay precios</x:v>
      </x:c>
      <x:c r="B92" s="11" t="n">
        <x:v>0</x:v>
      </x:c>
      <x:c r="C92" s="11" t="n">
        <x:v>15</x:v>
      </x:c>
      <x:c r="D92" s="12" t="n">
        <x:v>0</x:v>
      </x:c>
      <x:c r="E92" s="13" t="n">
        <x:v>12.47</x:v>
      </x:c>
    </x:row>
    <x:row r="93">
      <x:c r="A93" s="2" t="str">
        <x:v>teja colonial roja</x:v>
      </x:c>
      <x:c r="B93" s="11" t="n">
        <x:v>0</x:v>
      </x:c>
      <x:c r="C93" s="11" t="n">
        <x:v>14</x:v>
      </x:c>
      <x:c r="D93" s="12" t="n">
        <x:v>0</x:v>
      </x:c>
      <x:c r="E93" s="13" t="n">
        <x:v>6.64</x:v>
      </x:c>
    </x:row>
    <x:row r="94">
      <x:c r="A94" s="2" t="str">
        <x:v>teja barro</x:v>
      </x:c>
      <x:c r="B94" s="11" t="n">
        <x:v>0</x:v>
      </x:c>
      <x:c r="C94" s="11" t="n">
        <x:v>14</x:v>
      </x:c>
      <x:c r="D94" s="12" t="n">
        <x:v>0</x:v>
      </x:c>
      <x:c r="E94" s="13" t="n">
        <x:v>10.07</x:v>
      </x:c>
    </x:row>
    <x:row r="95">
      <x:c r="A95" s="2" t="str">
        <x:v>ladrilleras cerca de mi</x:v>
      </x:c>
      <x:c r="B95" s="11" t="n">
        <x:v>0</x:v>
      </x:c>
      <x:c r="C95" s="11" t="n">
        <x:v>13</x:v>
      </x:c>
      <x:c r="D95" s="12" t="n">
        <x:v>0</x:v>
      </x:c>
      <x:c r="E95" s="13" t="n">
        <x:v>8.23</x:v>
      </x:c>
    </x:row>
    <x:row r="96">
      <x:c r="A96" s="2" t="str">
        <x:v>ladrilleras en medellin</x:v>
      </x:c>
      <x:c r="B96" s="11" t="n">
        <x:v>0</x:v>
      </x:c>
      <x:c r="C96" s="11" t="n">
        <x:v>13</x:v>
      </x:c>
      <x:c r="D96" s="12" t="n">
        <x:v>0</x:v>
      </x:c>
      <x:c r="E96" s="13" t="n">
        <x:v>57.62</x:v>
      </x:c>
    </x:row>
    <x:row r="97">
      <x:c r="A97" s="2" t="str">
        <x:v>medidas de ladrillo a la vista</x:v>
      </x:c>
      <x:c r="B97" s="11" t="n">
        <x:v>0</x:v>
      </x:c>
      <x:c r="C97" s="11" t="n">
        <x:v>12</x:v>
      </x:c>
      <x:c r="D97" s="12" t="n">
        <x:v>0</x:v>
      </x:c>
      <x:c r="E97" s="13" t="n">
        <x:v>9.92</x:v>
      </x:c>
    </x:row>
    <x:row r="98">
      <x:c r="A98" s="2" t="str">
        <x:v>ladrillo colonial</x:v>
      </x:c>
      <x:c r="B98" s="11" t="n">
        <x:v>0</x:v>
      </x:c>
      <x:c r="C98" s="11" t="n">
        <x:v>11</x:v>
      </x:c>
      <x:c r="D98" s="12" t="n">
        <x:v>0</x:v>
      </x:c>
      <x:c r="E98" s="13" t="n">
        <x:v>6</x:v>
      </x:c>
    </x:row>
    <x:row r="99">
      <x:c r="A99" s="2" t="str">
        <x:v>tipos de tejas planas</x:v>
      </x:c>
      <x:c r="B99" s="11" t="n">
        <x:v>0</x:v>
      </x:c>
      <x:c r="C99" s="11" t="n">
        <x:v>11</x:v>
      </x:c>
      <x:c r="D99" s="12" t="n">
        <x:v>0</x:v>
      </x:c>
      <x:c r="E99" s="13" t="n">
        <x:v>8.64</x:v>
      </x:c>
    </x:row>
    <x:row r="100">
      <x:c r="A100" s="2" t="str">
        <x:v>textura teja de barro</x:v>
      </x:c>
      <x:c r="B100" s="11" t="n">
        <x:v>0</x:v>
      </x:c>
      <x:c r="C100" s="11" t="n">
        <x:v>11</x:v>
      </x:c>
      <x:c r="D100" s="12" t="n">
        <x:v>0</x:v>
      </x:c>
      <x:c r="E100" s="13" t="n">
        <x:v>9.36</x:v>
      </x:c>
    </x:row>
    <x:row r="101">
      <x:c r="A101" s="2" t="str">
        <x:v>cuanto vale una teja de barro</x:v>
      </x:c>
      <x:c r="B101" s="11" t="n">
        <x:v>0</x:v>
      </x:c>
      <x:c r="C101" s="11" t="n">
        <x:v>10</x:v>
      </x:c>
      <x:c r="D101" s="12" t="n">
        <x:v>0</x:v>
      </x:c>
      <x:c r="E101" s="13" t="n">
        <x:v>1.2</x:v>
      </x:c>
    </x:row>
    <x:row r="102">
      <x:c r="A102" s="2" t="str">
        <x:v>teja arcilla colonial</x:v>
      </x:c>
      <x:c r="B102" s="11" t="n">
        <x:v>0</x:v>
      </x:c>
      <x:c r="C102" s="11" t="n">
        <x:v>10</x:v>
      </x:c>
      <x:c r="D102" s="12" t="n">
        <x:v>0</x:v>
      </x:c>
      <x:c r="E102" s="13" t="n">
        <x:v>5.8</x:v>
      </x:c>
    </x:row>
    <x:row r="103">
      <x:c r="A103" s="2" t="str">
        <x:v>ladrillos romanos</x:v>
      </x:c>
      <x:c r="B103" s="11" t="n">
        <x:v>0</x:v>
      </x:c>
      <x:c r="C103" s="11" t="n">
        <x:v>10</x:v>
      </x:c>
      <x:c r="D103" s="12" t="n">
        <x:v>0</x:v>
      </x:c>
      <x:c r="E103" s="13" t="n">
        <x:v>6</x:v>
      </x:c>
    </x:row>
    <x:row r="104">
      <x:c r="A104" s="2" t="str">
        <x:v>teja tradicional</x:v>
      </x:c>
      <x:c r="B104" s="11" t="n">
        <x:v>0</x:v>
      </x:c>
      <x:c r="C104" s="11" t="n">
        <x:v>10</x:v>
      </x:c>
      <x:c r="D104" s="12" t="n">
        <x:v>0</x:v>
      </x:c>
      <x:c r="E104" s="13" t="n">
        <x:v>6.1</x:v>
      </x:c>
    </x:row>
    <x:row r="105">
      <x:c r="A105" s="2" t="str">
        <x:v>ladrillo corcho</x:v>
      </x:c>
      <x:c r="B105" s="11" t="n">
        <x:v>0</x:v>
      </x:c>
      <x:c r="C105" s="11" t="n">
        <x:v>10</x:v>
      </x:c>
      <x:c r="D105" s="12" t="n">
        <x:v>0</x:v>
      </x:c>
      <x:c r="E105" s="13" t="n">
        <x:v>6.2</x:v>
      </x:c>
    </x:row>
    <x:row r="106">
      <x:c r="A106" s="2" t="str">
        <x:v>tejado colonial</x:v>
      </x:c>
      <x:c r="B106" s="11" t="n">
        <x:v>0</x:v>
      </x:c>
      <x:c r="C106" s="11" t="n">
        <x:v>10</x:v>
      </x:c>
      <x:c r="D106" s="12" t="n">
        <x:v>0</x:v>
      </x:c>
      <x:c r="E106" s="13" t="n">
        <x:v>7.1</x:v>
      </x:c>
    </x:row>
    <x:row r="107">
      <x:c r="A107" s="2" t="str">
        <x:v>catalan horizontal</x:v>
      </x:c>
      <x:c r="B107" s="11" t="n">
        <x:v>0</x:v>
      </x:c>
      <x:c r="C107" s="11" t="n">
        <x:v>10</x:v>
      </x:c>
      <x:c r="D107" s="12" t="n">
        <x:v>0</x:v>
      </x:c>
      <x:c r="E107" s="13" t="n">
        <x:v>7.5</x:v>
      </x:c>
    </x:row>
    <x:row r="108">
      <x:c r="A108" s="2" t="str">
        <x:v>teja de barro precio unidad</x:v>
      </x:c>
      <x:c r="B108" s="11" t="n">
        <x:v>0</x:v>
      </x:c>
      <x:c r="C108" s="11" t="n">
        <x:v>10</x:v>
      </x:c>
      <x:c r="D108" s="12" t="n">
        <x:v>0</x:v>
      </x:c>
      <x:c r="E108" s="13" t="n">
        <x:v>7.5</x:v>
      </x:c>
    </x:row>
    <x:row r="109">
      <x:c r="A109" s="2" t="str">
        <x:v>techo tipo colonial</x:v>
      </x:c>
      <x:c r="B109" s="11" t="n">
        <x:v>0</x:v>
      </x:c>
      <x:c r="C109" s="11" t="n">
        <x:v>10</x:v>
      </x:c>
      <x:c r="D109" s="12" t="n">
        <x:v>0</x:v>
      </x:c>
      <x:c r="E109" s="13" t="n">
        <x:v>7.8</x:v>
      </x:c>
    </x:row>
    <x:row r="110">
      <x:c r="A110" s="2" t="str">
        <x:v>ladrillo de fachada precio</x:v>
      </x:c>
      <x:c r="B110" s="11" t="n">
        <x:v>0</x:v>
      </x:c>
      <x:c r="C110" s="11" t="n">
        <x:v>10</x:v>
      </x:c>
      <x:c r="D110" s="12" t="n">
        <x:v>0</x:v>
      </x:c>
      <x:c r="E110" s="13" t="n">
        <x:v>8.2</x:v>
      </x:c>
    </x:row>
    <x:row r="111">
      <x:c r="A111" s="2" t="str">
        <x:v>casa del ladrillo amagá</x:v>
      </x:c>
      <x:c r="B111" s="11" t="n">
        <x:v>0</x:v>
      </x:c>
      <x:c r="C111" s="11" t="n">
        <x:v>9</x:v>
      </x:c>
      <x:c r="D111" s="12" t="n">
        <x:v>0</x:v>
      </x:c>
      <x:c r="E111" s="13" t="n">
        <x:v>1</x:v>
      </x:c>
    </x:row>
    <x:row r="112">
      <x:c r="A112" s="2" t="str">
        <x:v>ladrillo macizo precio</x:v>
      </x:c>
      <x:c r="B112" s="11" t="n">
        <x:v>0</x:v>
      </x:c>
      <x:c r="C112" s="11" t="n">
        <x:v>9</x:v>
      </x:c>
      <x:c r="D112" s="12" t="n">
        <x:v>0</x:v>
      </x:c>
      <x:c r="E112" s="13" t="n">
        <x:v>2.44</x:v>
      </x:c>
    </x:row>
    <x:row r="113">
      <x:c r="A113" s="2" t="str">
        <x:v>ladrillo a la vista exterior precio</x:v>
      </x:c>
      <x:c r="B113" s="11" t="n">
        <x:v>0</x:v>
      </x:c>
      <x:c r="C113" s="11" t="n">
        <x:v>9</x:v>
      </x:c>
      <x:c r="D113" s="12" t="n">
        <x:v>0</x:v>
      </x:c>
      <x:c r="E113" s="13" t="n">
        <x:v>2.89</x:v>
      </x:c>
    </x:row>
    <x:row r="114">
      <x:c r="A114" s="2" t="str">
        <x:v>ladrillo claro</x:v>
      </x:c>
      <x:c r="B114" s="11" t="n">
        <x:v>0</x:v>
      </x:c>
      <x:c r="C114" s="11" t="n">
        <x:v>9</x:v>
      </x:c>
      <x:c r="D114" s="12" t="n">
        <x:v>0</x:v>
      </x:c>
      <x:c r="E114" s="13" t="n">
        <x:v>4.22</x:v>
      </x:c>
    </x:row>
    <x:row r="115">
      <x:c r="A115" s="2" t="str">
        <x:v>welders house</x:v>
      </x:c>
      <x:c r="B115" s="11" t="n">
        <x:v>0</x:v>
      </x:c>
      <x:c r="C115" s="11" t="n">
        <x:v>9</x:v>
      </x:c>
      <x:c r="D115" s="12" t="n">
        <x:v>0</x:v>
      </x:c>
      <x:c r="E115" s="13" t="n">
        <x:v>5.33</x:v>
      </x:c>
    </x:row>
    <x:row r="116">
      <x:c r="A116" s="2" t="str">
        <x:v>medida teja de barro</x:v>
      </x:c>
      <x:c r="B116" s="11" t="n">
        <x:v>0</x:v>
      </x:c>
      <x:c r="C116" s="11" t="n">
        <x:v>9</x:v>
      </x:c>
      <x:c r="D116" s="12" t="n">
        <x:v>0</x:v>
      </x:c>
      <x:c r="E116" s="13" t="n">
        <x:v>6</x:v>
      </x:c>
    </x:row>
    <x:row r="117">
      <x:c r="A117" s="2" t="str">
        <x:v>ladrillo oscuro</x:v>
      </x:c>
      <x:c r="B117" s="11" t="n">
        <x:v>0</x:v>
      </x:c>
      <x:c r="C117" s="11" t="n">
        <x:v>9</x:v>
      </x:c>
      <x:c r="D117" s="12" t="n">
        <x:v>0</x:v>
      </x:c>
      <x:c r="E117" s="13" t="n">
        <x:v>8.11</x:v>
      </x:c>
    </x:row>
    <x:row r="118">
      <x:c r="A118" s="2" t="str">
        <x:v>teja colonial arcilla</x:v>
      </x:c>
      <x:c r="B118" s="11" t="n">
        <x:v>0</x:v>
      </x:c>
      <x:c r="C118" s="11" t="n">
        <x:v>9</x:v>
      </x:c>
      <x:c r="D118" s="12" t="n">
        <x:v>0</x:v>
      </x:c>
      <x:c r="E118" s="13" t="n">
        <x:v>9.11</x:v>
      </x:c>
    </x:row>
    <x:row r="119">
      <x:c r="A119" s="2" t="str">
        <x:v>enchape rustico pared</x:v>
      </x:c>
      <x:c r="B119" s="11" t="n">
        <x:v>0</x:v>
      </x:c>
      <x:c r="C119" s="11" t="n">
        <x:v>9</x:v>
      </x:c>
      <x:c r="D119" s="12" t="n">
        <x:v>0</x:v>
      </x:c>
      <x:c r="E119" s="13" t="n">
        <x:v>10</x:v>
      </x:c>
    </x:row>
    <x:row r="120">
      <x:c r="A120" s="2" t="str">
        <x:v>ladrillos de fachada</x:v>
      </x:c>
      <x:c r="B120" s="11" t="n">
        <x:v>0</x:v>
      </x:c>
      <x:c r="C120" s="11" t="n">
        <x:v>9</x:v>
      </x:c>
      <x:c r="D120" s="12" t="n">
        <x:v>0</x:v>
      </x:c>
      <x:c r="E120" s="13" t="n">
        <x:v>10.89</x:v>
      </x:c>
    </x:row>
    <x:row r="121">
      <x:c r="A121" s="2" t="str">
        <x:v>teja colonial española</x:v>
      </x:c>
      <x:c r="B121" s="11" t="n">
        <x:v>0</x:v>
      </x:c>
      <x:c r="C121" s="11" t="n">
        <x:v>9</x:v>
      </x:c>
      <x:c r="D121" s="12" t="n">
        <x:v>0</x:v>
      </x:c>
      <x:c r="E121" s="13" t="n">
        <x:v>17.56</x:v>
      </x:c>
    </x:row>
    <x:row r="122">
      <x:c r="A122" s="2" t="str">
        <x:v>enchape</x:v>
      </x:c>
      <x:c r="B122" s="11" t="n">
        <x:v>0</x:v>
      </x:c>
      <x:c r="C122" s="11" t="n">
        <x:v>9</x:v>
      </x:c>
      <x:c r="D122" s="12" t="n">
        <x:v>0</x:v>
      </x:c>
      <x:c r="E122" s="13" t="n">
        <x:v>23.44</x:v>
      </x:c>
    </x:row>
    <x:row r="123">
      <x:c r="A123" s="2" t="str">
        <x:v>ladrillo</x:v>
      </x:c>
      <x:c r="B123" s="11" t="n">
        <x:v>0</x:v>
      </x:c>
      <x:c r="C123" s="11" t="n">
        <x:v>9</x:v>
      </x:c>
      <x:c r="D123" s="12" t="n">
        <x:v>0</x:v>
      </x:c>
      <x:c r="E123" s="13" t="n">
        <x:v>23.89</x:v>
      </x:c>
    </x:row>
    <x:row r="124">
      <x:c r="A124" s="2" t="str">
        <x:v>teja colonia</x:v>
      </x:c>
      <x:c r="B124" s="11" t="n">
        <x:v>0</x:v>
      </x:c>
      <x:c r="C124" s="11" t="n">
        <x:v>8</x:v>
      </x:c>
      <x:c r="D124" s="12" t="n">
        <x:v>0</x:v>
      </x:c>
      <x:c r="E124" s="13" t="n">
        <x:v>1</x:v>
      </x:c>
    </x:row>
    <x:row r="125">
      <x:c r="A125" s="2" t="str">
        <x:v>teja de barro tradicional</x:v>
      </x:c>
      <x:c r="B125" s="11" t="n">
        <x:v>0</x:v>
      </x:c>
      <x:c r="C125" s="11" t="n">
        <x:v>8</x:v>
      </x:c>
      <x:c r="D125" s="12" t="n">
        <x:v>0</x:v>
      </x:c>
      <x:c r="E125" s="13" t="n">
        <x:v>6.12</x:v>
      </x:c>
    </x:row>
    <x:row r="126">
      <x:c r="A126" s="2" t="str">
        <x:v>teja de arcilla colonial</x:v>
      </x:c>
      <x:c r="B126" s="11" t="n">
        <x:v>0</x:v>
      </x:c>
      <x:c r="C126" s="11" t="n">
        <x:v>8</x:v>
      </x:c>
      <x:c r="D126" s="12" t="n">
        <x:v>0</x:v>
      </x:c>
      <x:c r="E126" s="13" t="n">
        <x:v>6.5</x:v>
      </x:c>
    </x:row>
    <x:row r="127">
      <x:c r="A127" s="2" t="str">
        <x:v>rayado vertical</x:v>
      </x:c>
      <x:c r="B127" s="11" t="n">
        <x:v>0</x:v>
      </x:c>
      <x:c r="C127" s="11" t="n">
        <x:v>8</x:v>
      </x:c>
      <x:c r="D127" s="12" t="n">
        <x:v>0</x:v>
      </x:c>
      <x:c r="E127" s="13" t="n">
        <x:v>8</x:v>
      </x:c>
    </x:row>
    <x:row r="128">
      <x:c r="A128" s="2" t="str">
        <x:v>precio de tejas de barro para techo</x:v>
      </x:c>
      <x:c r="B128" s="11" t="n">
        <x:v>0</x:v>
      </x:c>
      <x:c r="C128" s="11" t="n">
        <x:v>8</x:v>
      </x:c>
      <x:c r="D128" s="12" t="n">
        <x:v>0</x:v>
      </x:c>
      <x:c r="E128" s="13" t="n">
        <x:v>24.62</x:v>
      </x:c>
    </x:row>
    <x:row r="129">
      <x:c r="A129" s="2" t="str">
        <x:v>enchapes de ladrillo</x:v>
      </x:c>
      <x:c r="B129" s="11" t="n">
        <x:v>0</x:v>
      </x:c>
      <x:c r="C129" s="11" t="n">
        <x:v>7</x:v>
      </x:c>
      <x:c r="D129" s="12" t="n">
        <x:v>0</x:v>
      </x:c>
      <x:c r="E129" s="13" t="n">
        <x:v>3</x:v>
      </x:c>
    </x:row>
    <x:row r="130">
      <x:c r="A130" s="2" t="str">
        <x:v>medida de teja de barro</x:v>
      </x:c>
      <x:c r="B130" s="11" t="n">
        <x:v>0</x:v>
      </x:c>
      <x:c r="C130" s="11" t="n">
        <x:v>7</x:v>
      </x:c>
      <x:c r="D130" s="12" t="n">
        <x:v>0</x:v>
      </x:c>
      <x:c r="E130" s="13" t="n">
        <x:v>5.14</x:v>
      </x:c>
    </x:row>
    <x:row r="131">
      <x:c r="A131" s="2" t="str">
        <x:v>medida de una teja de barro</x:v>
      </x:c>
      <x:c r="B131" s="11" t="n">
        <x:v>0</x:v>
      </x:c>
      <x:c r="C131" s="11" t="n">
        <x:v>7</x:v>
      </x:c>
      <x:c r="D131" s="12" t="n">
        <x:v>0</x:v>
      </x:c>
      <x:c r="E131" s="13" t="n">
        <x:v>6.14</x:v>
      </x:c>
    </x:row>
    <x:row r="132">
      <x:c r="A132" s="2" t="str">
        <x:v>medidas de teja de barro</x:v>
      </x:c>
      <x:c r="B132" s="11" t="n">
        <x:v>0</x:v>
      </x:c>
      <x:c r="C132" s="11" t="n">
        <x:v>7</x:v>
      </x:c>
      <x:c r="D132" s="12" t="n">
        <x:v>0</x:v>
      </x:c>
      <x:c r="E132" s="13" t="n">
        <x:v>7.14</x:v>
      </x:c>
    </x:row>
    <x:row r="133">
      <x:c r="A133" s="2" t="str">
        <x:v>pisos en barro</x:v>
      </x:c>
      <x:c r="B133" s="11" t="n">
        <x:v>0</x:v>
      </x:c>
      <x:c r="C133" s="11" t="n">
        <x:v>7</x:v>
      </x:c>
      <x:c r="D133" s="12" t="n">
        <x:v>0</x:v>
      </x:c>
      <x:c r="E133" s="13" t="n">
        <x:v>7.14</x:v>
      </x:c>
    </x:row>
    <x:row r="134">
      <x:c r="A134" s="2" t="str">
        <x:v>teja colonial medidas</x:v>
      </x:c>
      <x:c r="B134" s="11" t="n">
        <x:v>0</x:v>
      </x:c>
      <x:c r="C134" s="11" t="n">
        <x:v>7</x:v>
      </x:c>
      <x:c r="D134" s="12" t="n">
        <x:v>0</x:v>
      </x:c>
      <x:c r="E134" s="13" t="n">
        <x:v>8.14</x:v>
      </x:c>
    </x:row>
    <x:row r="135">
      <x:c r="A135" s="2" t="str">
        <x:v>teja de barro colonial precio</x:v>
      </x:c>
      <x:c r="B135" s="11" t="n">
        <x:v>0</x:v>
      </x:c>
      <x:c r="C135" s="11" t="n">
        <x:v>7</x:v>
      </x:c>
      <x:c r="D135" s="12" t="n">
        <x:v>0</x:v>
      </x:c>
      <x:c r="E135" s="13" t="n">
        <x:v>8.57</x:v>
      </x:c>
    </x:row>
    <x:row r="136">
      <x:c r="A136" s="2" t="str">
        <x:v>catalan adobe</x:v>
      </x:c>
      <x:c r="B136" s="11" t="n">
        <x:v>0</x:v>
      </x:c>
      <x:c r="C136" s="11" t="n">
        <x:v>7</x:v>
      </x:c>
      <x:c r="D136" s="12" t="n">
        <x:v>0</x:v>
      </x:c>
      <x:c r="E136" s="13" t="n">
        <x:v>8.71</x:v>
      </x:c>
    </x:row>
    <x:row r="137">
      <x:c r="A137" s="2" t="str">
        <x:v>tejas planas para techo</x:v>
      </x:c>
      <x:c r="B137" s="11" t="n">
        <x:v>0</x:v>
      </x:c>
      <x:c r="C137" s="11" t="n">
        <x:v>7</x:v>
      </x:c>
      <x:c r="D137" s="12" t="n">
        <x:v>0</x:v>
      </x:c>
      <x:c r="E137" s="13" t="n">
        <x:v>9.14</x:v>
      </x:c>
    </x:row>
    <x:row r="138">
      <x:c r="A138" s="2" t="str">
        <x:v>medidas teja de barro</x:v>
      </x:c>
      <x:c r="B138" s="11" t="n">
        <x:v>0</x:v>
      </x:c>
      <x:c r="C138" s="11" t="n">
        <x:v>7</x:v>
      </x:c>
      <x:c r="D138" s="12" t="n">
        <x:v>0</x:v>
      </x:c>
      <x:c r="E138" s="13" t="n">
        <x:v>9.57</x:v>
      </x:c>
    </x:row>
    <x:row r="139">
      <x:c r="A139" s="2" t="str">
        <x:v>piso barro</x:v>
      </x:c>
      <x:c r="B139" s="11" t="n">
        <x:v>0</x:v>
      </x:c>
      <x:c r="C139" s="11" t="n">
        <x:v>7</x:v>
      </x:c>
      <x:c r="D139" s="12" t="n">
        <x:v>0</x:v>
      </x:c>
      <x:c r="E139" s="13" t="n">
        <x:v>9.86</x:v>
      </x:c>
    </x:row>
    <x:row r="140">
      <x:c r="A140" s="2" t="str">
        <x:v>catalan ladrillo</x:v>
      </x:c>
      <x:c r="B140" s="11" t="n">
        <x:v>0</x:v>
      </x:c>
      <x:c r="C140" s="11" t="n">
        <x:v>7</x:v>
      </x:c>
      <x:c r="D140" s="12" t="n">
        <x:v>0</x:v>
      </x:c>
      <x:c r="E140" s="13" t="n">
        <x:v>10</x:v>
      </x:c>
    </x:row>
    <x:row r="141">
      <x:c r="A141" s="2" t="str">
        <x:v>ladrilleras en medellin precios</x:v>
      </x:c>
      <x:c r="B141" s="11" t="n">
        <x:v>0</x:v>
      </x:c>
      <x:c r="C141" s="11" t="n">
        <x:v>7</x:v>
      </x:c>
      <x:c r="D141" s="12" t="n">
        <x:v>0</x:v>
      </x:c>
      <x:c r="E141" s="13" t="n">
        <x:v>10.71</x:v>
      </x:c>
    </x:row>
    <x:row r="142">
      <x:c r="A142" s="2" t="str">
        <x:v>romano</x:v>
      </x:c>
      <x:c r="B142" s="11" t="n">
        <x:v>0</x:v>
      </x:c>
      <x:c r="C142" s="11" t="n">
        <x:v>7</x:v>
      </x:c>
      <x:c r="D142" s="12" t="n">
        <x:v>0</x:v>
      </x:c>
      <x:c r="E142" s="13" t="n">
        <x:v>11.14</x:v>
      </x:c>
    </x:row>
    <x:row r="143">
      <x:c r="A143" s="2" t="str">
        <x:v>teja barro precio</x:v>
      </x:c>
      <x:c r="B143" s="11" t="n">
        <x:v>0</x:v>
      </x:c>
      <x:c r="C143" s="11" t="n">
        <x:v>7</x:v>
      </x:c>
      <x:c r="D143" s="12" t="n">
        <x:v>0</x:v>
      </x:c>
      <x:c r="E143" s="13" t="n">
        <x:v>11.86</x:v>
      </x:c>
    </x:row>
    <x:row r="144">
      <x:c r="A144" s="2" t="str">
        <x:v>ladrillo para fachada</x:v>
      </x:c>
      <x:c r="B144" s="11" t="n">
        <x:v>0</x:v>
      </x:c>
      <x:c r="C144" s="11" t="n">
        <x:v>7</x:v>
      </x:c>
      <x:c r="D144" s="12" t="n">
        <x:v>0</x:v>
      </x:c>
      <x:c r="E144" s="13" t="n">
        <x:v>30.43</x:v>
      </x:c>
    </x:row>
    <x:row r="145">
      <x:c r="A145" s="2" t="str">
        <x:v>tejas a medida</x:v>
      </x:c>
      <x:c r="B145" s="11" t="n">
        <x:v>0</x:v>
      </x:c>
      <x:c r="C145" s="11" t="n">
        <x:v>7</x:v>
      </x:c>
      <x:c r="D145" s="12" t="n">
        <x:v>0</x:v>
      </x:c>
      <x:c r="E145" s="13" t="n">
        <x:v>48.29</x:v>
      </x:c>
    </x:row>
    <x:row r="146">
      <x:c r="A146" s="2" t="str">
        <x:v>colonial teja</x:v>
      </x:c>
      <x:c r="B146" s="11" t="n">
        <x:v>0</x:v>
      </x:c>
      <x:c r="C146" s="11" t="n">
        <x:v>6</x:v>
      </x:c>
      <x:c r="D146" s="12" t="n">
        <x:v>0</x:v>
      </x:c>
      <x:c r="E146" s="13" t="n">
        <x:v>1</x:v>
      </x:c>
    </x:row>
    <x:row r="147">
      <x:c r="A147" s="2" t="str">
        <x:v>clau house</x:v>
      </x:c>
      <x:c r="B147" s="11" t="n">
        <x:v>0</x:v>
      </x:c>
      <x:c r="C147" s="11" t="n">
        <x:v>6</x:v>
      </x:c>
      <x:c r="D147" s="12" t="n">
        <x:v>0</x:v>
      </x:c>
      <x:c r="E147" s="13" t="n">
        <x:v>2</x:v>
      </x:c>
    </x:row>
    <x:row r="148">
      <x:c r="A148" s="2" t="str">
        <x:v>teja artesanal</x:v>
      </x:c>
      <x:c r="B148" s="11" t="n">
        <x:v>0</x:v>
      </x:c>
      <x:c r="C148" s="11" t="n">
        <x:v>6</x:v>
      </x:c>
      <x:c r="D148" s="12" t="n">
        <x:v>0</x:v>
      </x:c>
      <x:c r="E148" s="13" t="n">
        <x:v>7.33</x:v>
      </x:c>
    </x:row>
    <x:row r="149">
      <x:c r="A149" s="2" t="str">
        <x:v>ladrillo enchape</x:v>
      </x:c>
      <x:c r="B149" s="11" t="n">
        <x:v>0</x:v>
      </x:c>
      <x:c r="C149" s="11" t="n">
        <x:v>6</x:v>
      </x:c>
      <x:c r="D149" s="12" t="n">
        <x:v>0</x:v>
      </x:c>
      <x:c r="E149" s="13" t="n">
        <x:v>7.5</x:v>
      </x:c>
    </x:row>
    <x:row r="150">
      <x:c r="A150" s="2" t="str">
        <x:v>bloque rayado</x:v>
      </x:c>
      <x:c r="B150" s="11" t="n">
        <x:v>0</x:v>
      </x:c>
      <x:c r="C150" s="11" t="n">
        <x:v>6</x:v>
      </x:c>
      <x:c r="D150" s="12" t="n">
        <x:v>0</x:v>
      </x:c>
      <x:c r="E150" s="13" t="n">
        <x:v>8.33</x:v>
      </x:c>
    </x:row>
    <x:row r="151">
      <x:c r="A151" s="2" t="str">
        <x:v>clay company</x:v>
      </x:c>
      <x:c r="B151" s="11" t="n">
        <x:v>0</x:v>
      </x:c>
      <x:c r="C151" s="11" t="n">
        <x:v>6</x:v>
      </x:c>
      <x:c r="D151" s="12" t="n">
        <x:v>0</x:v>
      </x:c>
      <x:c r="E151" s="13" t="n">
        <x:v>8.33</x:v>
      </x:c>
    </x:row>
    <x:row r="152">
      <x:c r="A152" s="2" t="str">
        <x:v>piso arcilla</x:v>
      </x:c>
      <x:c r="B152" s="11" t="n">
        <x:v>0</x:v>
      </x:c>
      <x:c r="C152" s="11" t="n">
        <x:v>6</x:v>
      </x:c>
      <x:c r="D152" s="12" t="n">
        <x:v>0</x:v>
      </x:c>
      <x:c r="E152" s="13" t="n">
        <x:v>10.33</x:v>
      </x:c>
    </x:row>
    <x:row r="153">
      <x:c r="A153" s="2" t="str">
        <x:v>techo de teja colonial</x:v>
      </x:c>
      <x:c r="B153" s="11" t="n">
        <x:v>0</x:v>
      </x:c>
      <x:c r="C153" s="11" t="n">
        <x:v>6</x:v>
      </x:c>
      <x:c r="D153" s="12" t="n">
        <x:v>0</x:v>
      </x:c>
      <x:c r="E153" s="13" t="n">
        <x:v>11.33</x:v>
      </x:c>
    </x:row>
    <x:row r="154">
      <x:c r="A154" s="2" t="str">
        <x:v>enchape imitacion ladrillo</x:v>
      </x:c>
      <x:c r="B154" s="11" t="n">
        <x:v>0</x:v>
      </x:c>
      <x:c r="C154" s="11" t="n">
        <x:v>5</x:v>
      </x:c>
      <x:c r="D154" s="12" t="n">
        <x:v>0</x:v>
      </x:c>
      <x:c r="E154" s="13" t="n">
        <x:v>1</x:v>
      </x:c>
    </x:row>
    <x:row r="155">
      <x:c r="A155" s="2" t="str">
        <x:v>tejas coloniales precio</x:v>
      </x:c>
      <x:c r="B155" s="11" t="n">
        <x:v>0</x:v>
      </x:c>
      <x:c r="C155" s="11" t="n">
        <x:v>5</x:v>
      </x:c>
      <x:c r="D155" s="12" t="n">
        <x:v>0</x:v>
      </x:c>
      <x:c r="E155" s="13" t="n">
        <x:v>5.8</x:v>
      </x:c>
    </x:row>
    <x:row r="156">
      <x:c r="A156" s="2" t="str">
        <x:v>bocadillo ladrillo</x:v>
      </x:c>
      <x:c r="B156" s="11" t="n">
        <x:v>0</x:v>
      </x:c>
      <x:c r="C156" s="11" t="n">
        <x:v>5</x:v>
      </x:c>
      <x:c r="D156" s="12" t="n">
        <x:v>0</x:v>
      </x:c>
      <x:c r="E156" s="13" t="n">
        <x:v>6.6</x:v>
      </x:c>
    </x:row>
    <x:row r="157">
      <x:c r="A157" s="2" t="str">
        <x:v>ladrillos claros</x:v>
      </x:c>
      <x:c r="B157" s="11" t="n">
        <x:v>0</x:v>
      </x:c>
      <x:c r="C157" s="11" t="n">
        <x:v>5</x:v>
      </x:c>
      <x:c r="D157" s="12" t="n">
        <x:v>0</x:v>
      </x:c>
      <x:c r="E157" s="13" t="n">
        <x:v>7.4</x:v>
      </x:c>
    </x:row>
    <x:row r="158">
      <x:c r="A158" s="2" t="str">
        <x:v>color teja colonial</x:v>
      </x:c>
      <x:c r="B158" s="11" t="n">
        <x:v>0</x:v>
      </x:c>
      <x:c r="C158" s="11" t="n">
        <x:v>5</x:v>
      </x:c>
      <x:c r="D158" s="12" t="n">
        <x:v>0</x:v>
      </x:c>
      <x:c r="E158" s="13" t="n">
        <x:v>7.6</x:v>
      </x:c>
    </x:row>
    <x:row r="159">
      <x:c r="A159" s="2" t="str">
        <x:v>medidas de la teja de barro</x:v>
      </x:c>
      <x:c r="B159" s="11" t="n">
        <x:v>0</x:v>
      </x:c>
      <x:c r="C159" s="11" t="n">
        <x:v>5</x:v>
      </x:c>
      <x:c r="D159" s="12" t="n">
        <x:v>0</x:v>
      </x:c>
      <x:c r="E159" s="13" t="n">
        <x:v>7.8</x:v>
      </x:c>
    </x:row>
    <x:row r="160">
      <x:c r="A160" s="2" t="str">
        <x:v>precio de ladrillos a la vista</x:v>
      </x:c>
      <x:c r="B160" s="11" t="n">
        <x:v>0</x:v>
      </x:c>
      <x:c r="C160" s="11" t="n">
        <x:v>5</x:v>
      </x:c>
      <x:c r="D160" s="12" t="n">
        <x:v>0</x:v>
      </x:c>
      <x:c r="E160" s="13" t="n">
        <x:v>8</x:v>
      </x:c>
    </x:row>
    <x:row r="161">
      <x:c r="A161" s="2" t="str">
        <x:v>bloque macizo de arcilla</x:v>
      </x:c>
      <x:c r="B161" s="11" t="n">
        <x:v>0</x:v>
      </x:c>
      <x:c r="C161" s="11" t="n">
        <x:v>5</x:v>
      </x:c>
      <x:c r="D161" s="12" t="n">
        <x:v>0</x:v>
      </x:c>
      <x:c r="E161" s="13" t="n">
        <x:v>8.4</x:v>
      </x:c>
    </x:row>
    <x:row r="162">
      <x:c r="A162" s="2" t="str">
        <x:v>ladrillo a la vista</x:v>
      </x:c>
      <x:c r="B162" s="11" t="n">
        <x:v>0</x:v>
      </x:c>
      <x:c r="C162" s="11" t="n">
        <x:v>5</x:v>
      </x:c>
      <x:c r="D162" s="12" t="n">
        <x:v>0</x:v>
      </x:c>
      <x:c r="E162" s="13" t="n">
        <x:v>8.6</x:v>
      </x:c>
    </x:row>
    <x:row r="163">
      <x:c r="A163" s="2" t="str">
        <x:v>tejas planas para techos</x:v>
      </x:c>
      <x:c r="B163" s="11" t="n">
        <x:v>0</x:v>
      </x:c>
      <x:c r="C163" s="11" t="n">
        <x:v>5</x:v>
      </x:c>
      <x:c r="D163" s="12" t="n">
        <x:v>0</x:v>
      </x:c>
      <x:c r="E163" s="13" t="n">
        <x:v>9.4</x:v>
      </x:c>
    </x:row>
    <x:row r="164">
      <x:c r="A164" s="2" t="str">
        <x:v>piso artesanal</x:v>
      </x:c>
      <x:c r="B164" s="11" t="n">
        <x:v>0</x:v>
      </x:c>
      <x:c r="C164" s="11" t="n">
        <x:v>5</x:v>
      </x:c>
      <x:c r="D164" s="12" t="n">
        <x:v>0</x:v>
      </x:c>
      <x:c r="E164" s="13" t="n">
        <x:v>10.4</x:v>
      </x:c>
    </x:row>
    <x:row r="165">
      <x:c r="A165" s="2" t="str">
        <x:v>ladrillo fachada exterior</x:v>
      </x:c>
      <x:c r="B165" s="11" t="n">
        <x:v>0</x:v>
      </x:c>
      <x:c r="C165" s="11" t="n">
        <x:v>5</x:v>
      </x:c>
      <x:c r="D165" s="12" t="n">
        <x:v>0</x:v>
      </x:c>
      <x:c r="E165" s="13" t="n">
        <x:v>10.8</x:v>
      </x:c>
    </x:row>
    <x:row r="166">
      <x:c r="A166" s="2" t="str">
        <x:v>la clay</x:v>
      </x:c>
      <x:c r="B166" s="11" t="n">
        <x:v>0</x:v>
      </x:c>
      <x:c r="C166" s="11" t="n">
        <x:v>5</x:v>
      </x:c>
      <x:c r="D166" s="12" t="n">
        <x:v>0</x:v>
      </x:c>
      <x:c r="E166" s="13" t="n">
        <x:v>13.4</x:v>
      </x:c>
    </x:row>
    <x:row r="167">
      <x:c r="A167" s="2" t="str">
        <x:v>10 x 30</x:v>
      </x:c>
      <x:c r="B167" s="11" t="n">
        <x:v>0</x:v>
      </x:c>
      <x:c r="C167" s="11" t="n">
        <x:v>5</x:v>
      </x:c>
      <x:c r="D167" s="12" t="n">
        <x:v>0</x:v>
      </x:c>
      <x:c r="E167" s="13" t="n">
        <x:v>14.4</x:v>
      </x:c>
    </x:row>
    <x:row r="168">
      <x:c r="A168" s="2" t="str">
        <x:v>teja española de barro</x:v>
      </x:c>
      <x:c r="B168" s="11" t="n">
        <x:v>0</x:v>
      </x:c>
      <x:c r="C168" s="11" t="n">
        <x:v>5</x:v>
      </x:c>
      <x:c r="D168" s="12" t="n">
        <x:v>0</x:v>
      </x:c>
      <x:c r="E168" s="13" t="n">
        <x:v>47.4</x:v>
      </x:c>
    </x:row>
    <x:row r="169">
      <x:c r="A169" s="2" t="str">
        <x:v>precio teja de barro</x:v>
      </x:c>
      <x:c r="B169" s="11" t="n">
        <x:v>0</x:v>
      </x:c>
      <x:c r="C169" s="11" t="n">
        <x:v>4</x:v>
      </x:c>
      <x:c r="D169" s="12" t="n">
        <x:v>0</x:v>
      </x:c>
      <x:c r="E169" s="13" t="n">
        <x:v>1</x:v>
      </x:c>
    </x:row>
    <x:row r="170">
      <x:c r="A170" s="2" t="str">
        <x:v>ladrillo rustico a la vista</x:v>
      </x:c>
      <x:c r="B170" s="11" t="n">
        <x:v>0</x:v>
      </x:c>
      <x:c r="C170" s="11" t="n">
        <x:v>4</x:v>
      </x:c>
      <x:c r="D170" s="12" t="n">
        <x:v>0</x:v>
      </x:c>
      <x:c r="E170" s="13" t="n">
        <x:v>5.75</x:v>
      </x:c>
    </x:row>
    <x:row r="171">
      <x:c r="A171" s="2" t="str">
        <x:v>teja de barro precio por pieza</x:v>
      </x:c>
      <x:c r="B171" s="11" t="n">
        <x:v>0</x:v>
      </x:c>
      <x:c r="C171" s="11" t="n">
        <x:v>4</x:v>
      </x:c>
      <x:c r="D171" s="12" t="n">
        <x:v>0</x:v>
      </x:c>
      <x:c r="E171" s="13" t="n">
        <x:v>6</x:v>
      </x:c>
    </x:row>
    <x:row r="172">
      <x:c r="A172" s="2" t="str">
        <x:v>teja de barro precio m2</x:v>
      </x:c>
      <x:c r="B172" s="11" t="n">
        <x:v>0</x:v>
      </x:c>
      <x:c r="C172" s="11" t="n">
        <x:v>4</x:v>
      </x:c>
      <x:c r="D172" s="12" t="n">
        <x:v>0</x:v>
      </x:c>
      <x:c r="E172" s="13" t="n">
        <x:v>6.25</x:v>
      </x:c>
    </x:row>
    <x:row r="173">
      <x:c r="A173" s="2" t="str">
        <x:v>origen del ladrillo</x:v>
      </x:c>
      <x:c r="B173" s="11" t="n">
        <x:v>0</x:v>
      </x:c>
      <x:c r="C173" s="11" t="n">
        <x:v>4</x:v>
      </x:c>
      <x:c r="D173" s="12" t="n">
        <x:v>0</x:v>
      </x:c>
      <x:c r="E173" s="13" t="n">
        <x:v>7</x:v>
      </x:c>
    </x:row>
    <x:row r="174">
      <x:c r="A174" s="2" t="str">
        <x:v>tejas tipo colonial</x:v>
      </x:c>
      <x:c r="B174" s="11" t="n">
        <x:v>0</x:v>
      </x:c>
      <x:c r="C174" s="11" t="n">
        <x:v>4</x:v>
      </x:c>
      <x:c r="D174" s="12" t="n">
        <x:v>0</x:v>
      </x:c>
      <x:c r="E174" s="13" t="n">
        <x:v>7.75</x:v>
      </x:c>
    </x:row>
    <x:row r="175">
      <x:c r="A175" s="2" t="str">
        <x:v>precio del ladrillo a la vista</x:v>
      </x:c>
      <x:c r="B175" s="11" t="n">
        <x:v>0</x:v>
      </x:c>
      <x:c r="C175" s="11" t="n">
        <x:v>4</x:v>
      </x:c>
      <x:c r="D175" s="12" t="n">
        <x:v>0</x:v>
      </x:c>
      <x:c r="E175" s="13" t="n">
        <x:v>9.25</x:v>
      </x:c>
    </x:row>
    <x:row r="176">
      <x:c r="A176" s="2" t="str">
        <x:v>teja estilo colonial</x:v>
      </x:c>
      <x:c r="B176" s="11" t="n">
        <x:v>0</x:v>
      </x:c>
      <x:c r="C176" s="11" t="n">
        <x:v>4</x:v>
      </x:c>
      <x:c r="D176" s="12" t="n">
        <x:v>0</x:v>
      </x:c>
      <x:c r="E176" s="13" t="n">
        <x:v>9.75</x:v>
      </x:c>
    </x:row>
    <x:row r="177">
      <x:c r="A177" s="2" t="str">
        <x:v>ladrilleras en cartagena</x:v>
      </x:c>
      <x:c r="B177" s="11" t="n">
        <x:v>0</x:v>
      </x:c>
      <x:c r="C177" s="11" t="n">
        <x:v>4</x:v>
      </x:c>
      <x:c r="D177" s="12" t="n">
        <x:v>0</x:v>
      </x:c>
      <x:c r="E177" s="13" t="n">
        <x:v>10.25</x:v>
      </x:c>
    </x:row>
    <x:row r="178">
      <x:c r="A178" s="2" t="str">
        <x:v>ladrillo rústico precio</x:v>
      </x:c>
      <x:c r="B178" s="11" t="n">
        <x:v>0</x:v>
      </x:c>
      <x:c r="C178" s="11" t="n">
        <x:v>4</x:v>
      </x:c>
      <x:c r="D178" s="12" t="n">
        <x:v>0</x:v>
      </x:c>
      <x:c r="E178" s="13" t="n">
        <x:v>10.75</x:v>
      </x:c>
    </x:row>
    <x:row r="179">
      <x:c r="A179" s="2" t="str">
        <x:v>pisos de arcilla</x:v>
      </x:c>
      <x:c r="B179" s="11" t="n">
        <x:v>0</x:v>
      </x:c>
      <x:c r="C179" s="11" t="n">
        <x:v>4</x:v>
      </x:c>
      <x:c r="D179" s="12" t="n">
        <x:v>0</x:v>
      </x:c>
      <x:c r="E179" s="13" t="n">
        <x:v>11.25</x:v>
      </x:c>
    </x:row>
    <x:row r="180">
      <x:c r="A180" s="2" t="str">
        <x:v>venta de ladrillos</x:v>
      </x:c>
      <x:c r="B180" s="11" t="n">
        <x:v>0</x:v>
      </x:c>
      <x:c r="C180" s="11" t="n">
        <x:v>4</x:v>
      </x:c>
      <x:c r="D180" s="12" t="n">
        <x:v>0</x:v>
      </x:c>
      <x:c r="E180" s="13" t="n">
        <x:v>12.25</x:v>
      </x:c>
    </x:row>
    <x:row r="181">
      <x:c r="A181" s="2" t="str">
        <x:v>enchape ladrillo rustico</x:v>
      </x:c>
      <x:c r="B181" s="11" t="n">
        <x:v>0</x:v>
      </x:c>
      <x:c r="C181" s="11" t="n">
        <x:v>4</x:v>
      </x:c>
      <x:c r="D181" s="12" t="n">
        <x:v>0</x:v>
      </x:c>
      <x:c r="E181" s="13" t="n">
        <x:v>15.25</x:v>
      </x:c>
    </x:row>
    <x:row r="182">
      <x:c r="A182" s="2" t="str">
        <x:v>precio de piso de barro 30x30</x:v>
      </x:c>
      <x:c r="B182" s="11" t="n">
        <x:v>0</x:v>
      </x:c>
      <x:c r="C182" s="11" t="n">
        <x:v>4</x:v>
      </x:c>
      <x:c r="D182" s="12" t="n">
        <x:v>0</x:v>
      </x:c>
      <x:c r="E182" s="13" t="n">
        <x:v>16.5</x:v>
      </x:c>
    </x:row>
    <x:row r="183">
      <x:c r="A183" s="2" t="str">
        <x:v>teja continua colonial</x:v>
      </x:c>
      <x:c r="B183" s="11" t="n">
        <x:v>0</x:v>
      </x:c>
      <x:c r="C183" s="11" t="n">
        <x:v>4</x:v>
      </x:c>
      <x:c r="D183" s="12" t="n">
        <x:v>0</x:v>
      </x:c>
      <x:c r="E183" s="13" t="n">
        <x:v>28.75</x:v>
      </x:c>
    </x:row>
    <x:row r="184">
      <x:c r="A184" s="2" t="str">
        <x:v>ladrillo para fachada exterior</x:v>
      </x:c>
      <x:c r="B184" s="11" t="n">
        <x:v>0</x:v>
      </x:c>
      <x:c r="C184" s="11" t="n">
        <x:v>4</x:v>
      </x:c>
      <x:c r="D184" s="12" t="n">
        <x:v>0</x:v>
      </x:c>
      <x:c r="E184" s="13" t="n">
        <x:v>34.5</x:v>
      </x:c>
    </x:row>
    <x:row r="185">
      <x:c r="A185" s="2" t="str">
        <x:v>latin store house</x:v>
      </x:c>
      <x:c r="B185" s="11" t="n">
        <x:v>0</x:v>
      </x:c>
      <x:c r="C185" s="11" t="n">
        <x:v>4</x:v>
      </x:c>
      <x:c r="D185" s="12" t="n">
        <x:v>0</x:v>
      </x:c>
      <x:c r="E185" s="13" t="n">
        <x:v>45.75</x:v>
      </x:c>
    </x:row>
    <x:row r="186">
      <x:c r="A186" s="2" t="str">
        <x:v>arcilla romana</x:v>
      </x:c>
      <x:c r="B186" s="11" t="n">
        <x:v>0</x:v>
      </x:c>
      <x:c r="C186" s="11" t="n">
        <x:v>4</x:v>
      </x:c>
      <x:c r="D186" s="12" t="n">
        <x:v>0</x:v>
      </x:c>
      <x:c r="E186" s="13" t="n">
        <x:v>47.75</x:v>
      </x:c>
    </x:row>
    <x:row r="187">
      <x:c r="A187" s="2" t="str">
        <x:v>clay haus</x:v>
      </x:c>
      <x:c r="B187" s="11" t="n">
        <x:v>0</x:v>
      </x:c>
      <x:c r="C187" s="11" t="n">
        <x:v>3</x:v>
      </x:c>
      <x:c r="D187" s="12" t="n">
        <x:v>0</x:v>
      </x:c>
      <x:c r="E187" s="13" t="n">
        <x:v>1</x:v>
      </x:c>
    </x:row>
    <x:row r="188">
      <x:c r="A188" s="2" t="str">
        <x:v>cuanto cuesta una teja de barro</x:v>
      </x:c>
      <x:c r="B188" s="11" t="n">
        <x:v>0</x:v>
      </x:c>
      <x:c r="C188" s="11" t="n">
        <x:v>3</x:v>
      </x:c>
      <x:c r="D188" s="12" t="n">
        <x:v>0</x:v>
      </x:c>
      <x:c r="E188" s="13" t="n">
        <x:v>1</x:v>
      </x:c>
    </x:row>
    <x:row r="189">
      <x:c r="A189" s="2" t="str">
        <x:v>macizo ladrillo</x:v>
      </x:c>
      <x:c r="B189" s="11" t="n">
        <x:v>0</x:v>
      </x:c>
      <x:c r="C189" s="11" t="n">
        <x:v>3</x:v>
      </x:c>
      <x:c r="D189" s="12" t="n">
        <x:v>0</x:v>
      </x:c>
      <x:c r="E189" s="13" t="n">
        <x:v>1</x:v>
      </x:c>
    </x:row>
    <x:row r="190">
      <x:c r="A190" s="2" t="str">
        <x:v>precio de una teja de barro</x:v>
      </x:c>
      <x:c r="B190" s="11" t="n">
        <x:v>0</x:v>
      </x:c>
      <x:c r="C190" s="11" t="n">
        <x:v>3</x:v>
      </x:c>
      <x:c r="D190" s="12" t="n">
        <x:v>0</x:v>
      </x:c>
      <x:c r="E190" s="13" t="n">
        <x:v>1</x:v>
      </x:c>
    </x:row>
    <x:row r="191">
      <x:c r="A191" s="2" t="str">
        <x:v>teja roja</x:v>
      </x:c>
      <x:c r="B191" s="11" t="n">
        <x:v>0</x:v>
      </x:c>
      <x:c r="C191" s="11" t="n">
        <x:v>3</x:v>
      </x:c>
      <x:c r="D191" s="12" t="n">
        <x:v>0</x:v>
      </x:c>
      <x:c r="E191" s="13" t="n">
        <x:v>1.33</x:v>
      </x:c>
    </x:row>
    <x:row r="192">
      <x:c r="A192" s="2" t="str">
        <x:v>precio de la teja de barro</x:v>
      </x:c>
      <x:c r="B192" s="11" t="n">
        <x:v>0</x:v>
      </x:c>
      <x:c r="C192" s="11" t="n">
        <x:v>3</x:v>
      </x:c>
      <x:c r="D192" s="12" t="n">
        <x:v>0</x:v>
      </x:c>
      <x:c r="E192" s="13" t="n">
        <x:v>1.67</x:v>
      </x:c>
    </x:row>
    <x:row r="193">
      <x:c r="A193" s="2" t="str">
        <x:v>precio ladrillo macizo</x:v>
      </x:c>
      <x:c r="B193" s="11" t="n">
        <x:v>0</x:v>
      </x:c>
      <x:c r="C193" s="11" t="n">
        <x:v>3</x:v>
      </x:c>
      <x:c r="D193" s="12" t="n">
        <x:v>0</x:v>
      </x:c>
      <x:c r="E193" s="13" t="n">
        <x:v>2</x:v>
      </x:c>
    </x:row>
    <x:row r="194">
      <x:c r="A194" s="2" t="str">
        <x:v>alfareria</x:v>
      </x:c>
      <x:c r="B194" s="11" t="n">
        <x:v>0</x:v>
      </x:c>
      <x:c r="C194" s="11" t="n">
        <x:v>3</x:v>
      </x:c>
      <x:c r="D194" s="12" t="n">
        <x:v>0</x:v>
      </x:c>
      <x:c r="E194" s="13" t="n">
        <x:v>3.67</x:v>
      </x:c>
    </x:row>
    <x:row r="195">
      <x:c r="A195" s="2" t="str">
        <x:v>lame house</x:v>
      </x:c>
      <x:c r="B195" s="11" t="n">
        <x:v>0</x:v>
      </x:c>
      <x:c r="C195" s="11" t="n">
        <x:v>3</x:v>
      </x:c>
      <x:c r="D195" s="12" t="n">
        <x:v>0</x:v>
      </x:c>
      <x:c r="E195" s="13" t="n">
        <x:v>3.67</x:v>
      </x:c>
    </x:row>
    <x:row r="196">
      <x:c r="A196" s="2" t="str">
        <x:v>piso 30</x:v>
      </x:c>
      <x:c r="B196" s="11" t="n">
        <x:v>0</x:v>
      </x:c>
      <x:c r="C196" s="11" t="n">
        <x:v>3</x:v>
      </x:c>
      <x:c r="D196" s="12" t="n">
        <x:v>0</x:v>
      </x:c>
      <x:c r="E196" s="13" t="n">
        <x:v>3.67</x:v>
      </x:c>
    </x:row>
    <x:row r="197">
      <x:c r="A197" s="2" t="str">
        <x:v>teja de ladrillo</x:v>
      </x:c>
      <x:c r="B197" s="11" t="n">
        <x:v>0</x:v>
      </x:c>
      <x:c r="C197" s="11" t="n">
        <x:v>3</x:v>
      </x:c>
      <x:c r="D197" s="12" t="n">
        <x:v>0</x:v>
      </x:c>
      <x:c r="E197" s="13" t="n">
        <x:v>4</x:v>
      </x:c>
    </x:row>
    <x:row r="198">
      <x:c r="A198" s="2" t="str">
        <x:v>brick enchape</x:v>
      </x:c>
      <x:c r="B198" s="11" t="n">
        <x:v>0</x:v>
      </x:c>
      <x:c r="C198" s="11" t="n">
        <x:v>3</x:v>
      </x:c>
      <x:c r="D198" s="12" t="n">
        <x:v>0</x:v>
      </x:c>
      <x:c r="E198" s="13" t="n">
        <x:v>4.67</x:v>
      </x:c>
    </x:row>
    <x:row r="199">
      <x:c r="A199" s="2" t="str">
        <x:v>pisos de barro</x:v>
      </x:c>
      <x:c r="B199" s="11" t="n">
        <x:v>0</x:v>
      </x:c>
      <x:c r="C199" s="11" t="n">
        <x:v>3</x:v>
      </x:c>
      <x:c r="D199" s="12" t="n">
        <x:v>0</x:v>
      </x:c>
      <x:c r="E199" s="13" t="n">
        <x:v>5</x:v>
      </x:c>
    </x:row>
    <x:row r="200">
      <x:c r="A200" s="2" t="str">
        <x:v>teja de barro textura</x:v>
      </x:c>
      <x:c r="B200" s="11" t="n">
        <x:v>0</x:v>
      </x:c>
      <x:c r="C200" s="11" t="n">
        <x:v>3</x:v>
      </x:c>
      <x:c r="D200" s="12" t="n">
        <x:v>0</x:v>
      </x:c>
      <x:c r="E200" s="13" t="n">
        <x:v>6.33</x:v>
      </x:c>
    </x:row>
    <x:row r="201">
      <x:c r="A201" s="2" t="str">
        <x:v>piso de arcilla</x:v>
      </x:c>
      <x:c r="B201" s="11" t="n">
        <x:v>0</x:v>
      </x:c>
      <x:c r="C201" s="11" t="n">
        <x:v>3</x:v>
      </x:c>
      <x:c r="D201" s="12" t="n">
        <x:v>0</x:v>
      </x:c>
      <x:c r="E201" s="13" t="n">
        <x:v>6.67</x:v>
      </x:c>
    </x:row>
    <x:row r="202">
      <x:c r="A202" s="2" t="str">
        <x:v>ladrillera artesanal</x:v>
      </x:c>
      <x:c r="B202" s="11" t="n">
        <x:v>0</x:v>
      </x:c>
      <x:c r="C202" s="11" t="n">
        <x:v>3</x:v>
      </x:c>
      <x:c r="D202" s="12" t="n">
        <x:v>0</x:v>
      </x:c>
      <x:c r="E202" s="13" t="n">
        <x:v>7.33</x:v>
      </x:c>
    </x:row>
    <x:row r="203">
      <x:c r="A203" s="2" t="str">
        <x:v>piso arcilla artesanal</x:v>
      </x:c>
      <x:c r="B203" s="11" t="n">
        <x:v>0</x:v>
      </x:c>
      <x:c r="C203" s="11" t="n">
        <x:v>3</x:v>
      </x:c>
      <x:c r="D203" s="12" t="n">
        <x:v>0</x:v>
      </x:c>
      <x:c r="E203" s="13" t="n">
        <x:v>7.33</x:v>
      </x:c>
    </x:row>
    <x:row r="204">
      <x:c r="A204" s="2" t="str">
        <x:v>precio teja de barro colonial</x:v>
      </x:c>
      <x:c r="B204" s="11" t="n">
        <x:v>0</x:v>
      </x:c>
      <x:c r="C204" s="11" t="n">
        <x:v>3</x:v>
      </x:c>
      <x:c r="D204" s="12" t="n">
        <x:v>0</x:v>
      </x:c>
      <x:c r="E204" s="13" t="n">
        <x:v>7.33</x:v>
      </x:c>
    </x:row>
    <x:row r="205">
      <x:c r="A205" s="2" t="str">
        <x:v>10 x30</x:v>
      </x:c>
      <x:c r="B205" s="11" t="n">
        <x:v>0</x:v>
      </x:c>
      <x:c r="C205" s="11" t="n">
        <x:v>3</x:v>
      </x:c>
      <x:c r="D205" s="12" t="n">
        <x:v>0</x:v>
      </x:c>
      <x:c r="E205" s="13" t="n">
        <x:v>7.67</x:v>
      </x:c>
    </x:row>
    <x:row r="206">
      <x:c r="A206" s="2" t="str">
        <x:v>ladrillos decorativos para fachadas</x:v>
      </x:c>
      <x:c r="B206" s="11" t="n">
        <x:v>0</x:v>
      </x:c>
      <x:c r="C206" s="11" t="n">
        <x:v>3</x:v>
      </x:c>
      <x:c r="D206" s="12" t="n">
        <x:v>0</x:v>
      </x:c>
      <x:c r="E206" s="13" t="n">
        <x:v>7.67</x:v>
      </x:c>
    </x:row>
    <x:row r="207">
      <x:c r="A207" s="2" t="str">
        <x:v>pisos de barro para interiores</x:v>
      </x:c>
      <x:c r="B207" s="11" t="n">
        <x:v>0</x:v>
      </x:c>
      <x:c r="C207" s="11" t="n">
        <x:v>3</x:v>
      </x:c>
      <x:c r="D207" s="12" t="n">
        <x:v>0</x:v>
      </x:c>
      <x:c r="E207" s="13" t="n">
        <x:v>8</x:v>
      </x:c>
    </x:row>
    <x:row r="208">
      <x:c r="A208" s="2" t="str">
        <x:v>adobe catalán</x:v>
      </x:c>
      <x:c r="B208" s="11" t="n">
        <x:v>0</x:v>
      </x:c>
      <x:c r="C208" s="11" t="n">
        <x:v>3</x:v>
      </x:c>
      <x:c r="D208" s="12" t="n">
        <x:v>0</x:v>
      </x:c>
      <x:c r="E208" s="13" t="n">
        <x:v>8.33</x:v>
      </x:c>
    </x:row>
    <x:row r="209">
      <x:c r="A209" s="2" t="str">
        <x:v>techo estilo colonial</x:v>
      </x:c>
      <x:c r="B209" s="11" t="n">
        <x:v>0</x:v>
      </x:c>
      <x:c r="C209" s="11" t="n">
        <x:v>3</x:v>
      </x:c>
      <x:c r="D209" s="12" t="n">
        <x:v>0</x:v>
      </x:c>
      <x:c r="E209" s="13" t="n">
        <x:v>8.33</x:v>
      </x:c>
    </x:row>
    <x:row r="210">
      <x:c r="A210" s="2" t="str">
        <x:v>precio teja barro</x:v>
      </x:c>
      <x:c r="B210" s="11" t="n">
        <x:v>0</x:v>
      </x:c>
      <x:c r="C210" s="11" t="n">
        <x:v>3</x:v>
      </x:c>
      <x:c r="D210" s="12" t="n">
        <x:v>0</x:v>
      </x:c>
      <x:c r="E210" s="13" t="n">
        <x:v>9</x:v>
      </x:c>
    </x:row>
    <x:row r="211">
      <x:c r="A211" s="2" t="str">
        <x:v>teja de barro plana precio</x:v>
      </x:c>
      <x:c r="B211" s="11" t="n">
        <x:v>0</x:v>
      </x:c>
      <x:c r="C211" s="11" t="n">
        <x:v>3</x:v>
      </x:c>
      <x:c r="D211" s="12" t="n">
        <x:v>0</x:v>
      </x:c>
      <x:c r="E211" s="13" t="n">
        <x:v>9</x:v>
      </x:c>
    </x:row>
    <x:row r="212">
      <x:c r="A212" s="2" t="str">
        <x:v>cubierta de barro</x:v>
      </x:c>
      <x:c r="B212" s="11" t="n">
        <x:v>0</x:v>
      </x:c>
      <x:c r="C212" s="11" t="n">
        <x:v>3</x:v>
      </x:c>
      <x:c r="D212" s="12" t="n">
        <x:v>0</x:v>
      </x:c>
      <x:c r="E212" s="13" t="n">
        <x:v>9.67</x:v>
      </x:c>
    </x:row>
    <x:row r="213">
      <x:c r="A213" s="2" t="str">
        <x:v>cubierta en teja de barro</x:v>
      </x:c>
      <x:c r="B213" s="11" t="n">
        <x:v>0</x:v>
      </x:c>
      <x:c r="C213" s="11" t="n">
        <x:v>3</x:v>
      </x:c>
      <x:c r="D213" s="12" t="n">
        <x:v>0</x:v>
      </x:c>
      <x:c r="E213" s="13" t="n">
        <x:v>9.67</x:v>
      </x:c>
    </x:row>
    <x:row r="214">
      <x:c r="A214" s="2" t="str">
        <x:v>ladrillo de enchape</x:v>
      </x:c>
      <x:c r="B214" s="11" t="n">
        <x:v>0</x:v>
      </x:c>
      <x:c r="C214" s="11" t="n">
        <x:v>3</x:v>
      </x:c>
      <x:c r="D214" s="12" t="n">
        <x:v>0</x:v>
      </x:c>
      <x:c r="E214" s="13" t="n">
        <x:v>9.67</x:v>
      </x:c>
    </x:row>
    <x:row r="215">
      <x:c r="A215" s="2" t="str">
        <x:v>ladrillos ala vista exterior</x:v>
      </x:c>
      <x:c r="B215" s="11" t="n">
        <x:v>0</x:v>
      </x:c>
      <x:c r="C215" s="11" t="n">
        <x:v>3</x:v>
      </x:c>
      <x:c r="D215" s="12" t="n">
        <x:v>0</x:v>
      </x:c>
      <x:c r="E215" s="13" t="n">
        <x:v>9.67</x:v>
      </x:c>
    </x:row>
    <x:row r="216">
      <x:c r="A216" s="2" t="str">
        <x:v>10x30</x:v>
      </x:c>
      <x:c r="B216" s="11" t="n">
        <x:v>0</x:v>
      </x:c>
      <x:c r="C216" s="11" t="n">
        <x:v>3</x:v>
      </x:c>
      <x:c r="D216" s="12" t="n">
        <x:v>0</x:v>
      </x:c>
      <x:c r="E216" s="13" t="n">
        <x:v>10</x:v>
      </x:c>
    </x:row>
    <x:row r="217">
      <x:c r="A217" s="2" t="str">
        <x:v>chapa ladrillo</x:v>
      </x:c>
      <x:c r="B217" s="11" t="n">
        <x:v>0</x:v>
      </x:c>
      <x:c r="C217" s="11" t="n">
        <x:v>3</x:v>
      </x:c>
      <x:c r="D217" s="12" t="n">
        <x:v>0</x:v>
      </x:c>
      <x:c r="E217" s="13" t="n">
        <x:v>10</x:v>
      </x:c>
    </x:row>
    <x:row r="218">
      <x:c r="A218" s="2" t="str">
        <x:v>textura de teja de barro</x:v>
      </x:c>
      <x:c r="B218" s="11" t="n">
        <x:v>0</x:v>
      </x:c>
      <x:c r="C218" s="11" t="n">
        <x:v>3</x:v>
      </x:c>
      <x:c r="D218" s="12" t="n">
        <x:v>0</x:v>
      </x:c>
      <x:c r="E218" s="13" t="n">
        <x:v>10</x:v>
      </x:c>
    </x:row>
    <x:row r="219">
      <x:c r="A219" s="2" t="str">
        <x:v>ladrillo cara vista precio</x:v>
      </x:c>
      <x:c r="B219" s="11" t="n">
        <x:v>0</x:v>
      </x:c>
      <x:c r="C219" s="11" t="n">
        <x:v>3</x:v>
      </x:c>
      <x:c r="D219" s="12" t="n">
        <x:v>0</x:v>
      </x:c>
      <x:c r="E219" s="13" t="n">
        <x:v>11</x:v>
      </x:c>
    </x:row>
    <x:row r="220">
      <x:c r="A220" s="2" t="str">
        <x:v>enchape de muros</x:v>
      </x:c>
      <x:c r="B220" s="11" t="n">
        <x:v>0</x:v>
      </x:c>
      <x:c r="C220" s="11" t="n">
        <x:v>3</x:v>
      </x:c>
      <x:c r="D220" s="12" t="n">
        <x:v>0</x:v>
      </x:c>
      <x:c r="E220" s="13" t="n">
        <x:v>12.67</x:v>
      </x:c>
    </x:row>
    <x:row r="221">
      <x:c r="A221" s="2" t="str">
        <x:v>venta de teja de barro</x:v>
      </x:c>
      <x:c r="B221" s="11" t="n">
        <x:v>0</x:v>
      </x:c>
      <x:c r="C221" s="11" t="n">
        <x:v>3</x:v>
      </x:c>
      <x:c r="D221" s="12" t="n">
        <x:v>0</x:v>
      </x:c>
      <x:c r="E221" s="13" t="n">
        <x:v>13</x:v>
      </x:c>
    </x:row>
    <x:row r="222">
      <x:c r="A222" s="2" t="str">
        <x:v>clay's</x:v>
      </x:c>
      <x:c r="B222" s="11" t="n">
        <x:v>0</x:v>
      </x:c>
      <x:c r="C222" s="11" t="n">
        <x:v>3</x:v>
      </x:c>
      <x:c r="D222" s="12" t="n">
        <x:v>0</x:v>
      </x:c>
      <x:c r="E222" s="13" t="n">
        <x:v>13.33</x:v>
      </x:c>
    </x:row>
    <x:row r="223">
      <x:c r="A223" s="2" t="str">
        <x:v>ladrillo de fachada</x:v>
      </x:c>
      <x:c r="B223" s="11" t="n">
        <x:v>0</x:v>
      </x:c>
      <x:c r="C223" s="11" t="n">
        <x:v>3</x:v>
      </x:c>
      <x:c r="D223" s="12" t="n">
        <x:v>0</x:v>
      </x:c>
      <x:c r="E223" s="13" t="n">
        <x:v>17</x:v>
      </x:c>
    </x:row>
    <x:row r="224">
      <x:c r="A224" s="2" t="str">
        <x:v>medidas tejas de barro</x:v>
      </x:c>
      <x:c r="B224" s="11" t="n">
        <x:v>0</x:v>
      </x:c>
      <x:c r="C224" s="11" t="n">
        <x:v>3</x:v>
      </x:c>
      <x:c r="D224" s="12" t="n">
        <x:v>0</x:v>
      </x:c>
      <x:c r="E224" s="13" t="n">
        <x:v>22.33</x:v>
      </x:c>
    </x:row>
    <x:row r="225">
      <x:c r="A225" s="2" t="str">
        <x:v>precio tejas de barro</x:v>
      </x:c>
      <x:c r="B225" s="11" t="n">
        <x:v>0</x:v>
      </x:c>
      <x:c r="C225" s="11" t="n">
        <x:v>3</x:v>
      </x:c>
      <x:c r="D225" s="12" t="n">
        <x:v>0</x:v>
      </x:c>
      <x:c r="E225" s="13" t="n">
        <x:v>23.67</x:v>
      </x:c>
    </x:row>
    <x:row r="226">
      <x:c r="A226" s="2" t="str">
        <x:v>ladrillera la clay</x:v>
      </x:c>
      <x:c r="B226" s="11" t="n">
        <x:v>0</x:v>
      </x:c>
      <x:c r="C226" s="11" t="n">
        <x:v>3</x:v>
      </x:c>
      <x:c r="D226" s="12" t="n">
        <x:v>0</x:v>
      </x:c>
      <x:c r="E226" s="13" t="n">
        <x:v>31.67</x:v>
      </x:c>
    </x:row>
    <x:row r="227">
      <x:c r="A227" s="2" t="str">
        <x:v>barro arcilla</x:v>
      </x:c>
      <x:c r="B227" s="11" t="n">
        <x:v>0</x:v>
      </x:c>
      <x:c r="C227" s="11" t="n">
        <x:v>3</x:v>
      </x:c>
      <x:c r="D227" s="12" t="n">
        <x:v>0</x:v>
      </x:c>
      <x:c r="E227" s="13" t="n">
        <x:v>57.67</x:v>
      </x:c>
    </x:row>
    <x:row r="228">
      <x:c r="A228" s="2" t="str">
        <x:v>costo de teja de barro por pieza</x:v>
      </x:c>
      <x:c r="B228" s="11" t="n">
        <x:v>0</x:v>
      </x:c>
      <x:c r="C228" s="11" t="n">
        <x:v>2</x:v>
      </x:c>
      <x:c r="D228" s="12" t="n">
        <x:v>0</x:v>
      </x:c>
      <x:c r="E228" s="13" t="n">
        <x:v>1</x:v>
      </x:c>
    </x:row>
    <x:row r="229">
      <x:c r="A229" s="2" t="str">
        <x:v>ladrillo holman</x:v>
      </x:c>
      <x:c r="B229" s="11" t="n">
        <x:v>0</x:v>
      </x:c>
      <x:c r="C229" s="11" t="n">
        <x:v>2</x:v>
      </x:c>
      <x:c r="D229" s="12" t="n">
        <x:v>0</x:v>
      </x:c>
      <x:c r="E229" s="13" t="n">
        <x:v>1</x:v>
      </x:c>
    </x:row>
    <x:row r="230">
      <x:c r="A230" s="2" t="str">
        <x:v>ladrillo natural</x:v>
      </x:c>
      <x:c r="B230" s="11" t="n">
        <x:v>0</x:v>
      </x:c>
      <x:c r="C230" s="11" t="n">
        <x:v>2</x:v>
      </x:c>
      <x:c r="D230" s="12" t="n">
        <x:v>0</x:v>
      </x:c>
      <x:c r="E230" s="13" t="n">
        <x:v>1</x:v>
      </x:c>
    </x:row>
    <x:row r="231">
      <x:c r="A231" s="2" t="str">
        <x:v>piso de barro precio</x:v>
      </x:c>
      <x:c r="B231" s="11" t="n">
        <x:v>0</x:v>
      </x:c>
      <x:c r="C231" s="11" t="n">
        <x:v>2</x:v>
      </x:c>
      <x:c r="D231" s="12" t="n">
        <x:v>0</x:v>
      </x:c>
      <x:c r="E231" s="13" t="n">
        <x:v>1</x:v>
      </x:c>
    </x:row>
    <x:row r="232">
      <x:c r="A232" s="2" t="str">
        <x:v>si</x:v>
      </x:c>
      <x:c r="B232" s="11" t="n">
        <x:v>0</x:v>
      </x:c>
      <x:c r="C232" s="11" t="n">
        <x:v>2</x:v>
      </x:c>
      <x:c r="D232" s="12" t="n">
        <x:v>0</x:v>
      </x:c>
      <x:c r="E232" s="13" t="n">
        <x:v>1</x:v>
      </x:c>
    </x:row>
    <x:row r="233">
      <x:c r="A233" s="2" t="str">
        <x:v>teja medidas</x:v>
      </x:c>
      <x:c r="B233" s="11" t="n">
        <x:v>0</x:v>
      </x:c>
      <x:c r="C233" s="11" t="n">
        <x:v>2</x:v>
      </x:c>
      <x:c r="D233" s="12" t="n">
        <x:v>0</x:v>
      </x:c>
      <x:c r="E233" s="13" t="n">
        <x:v>1</x:v>
      </x:c>
    </x:row>
    <x:row r="234">
      <x:c r="A234" s="2" t="str">
        <x:v>teja natural</x:v>
      </x:c>
      <x:c r="B234" s="11" t="n">
        <x:v>0</x:v>
      </x:c>
      <x:c r="C234" s="11" t="n">
        <x:v>2</x:v>
      </x:c>
      <x:c r="D234" s="12" t="n">
        <x:v>0</x:v>
      </x:c>
      <x:c r="E234" s="13" t="n">
        <x:v>1</x:v>
      </x:c>
    </x:row>
    <x:row r="235">
      <x:c r="A235" s="2" t="str">
        <x:v>teja para techo</x:v>
      </x:c>
      <x:c r="B235" s="11" t="n">
        <x:v>0</x:v>
      </x:c>
      <x:c r="C235" s="11" t="n">
        <x:v>2</x:v>
      </x:c>
      <x:c r="D235" s="12" t="n">
        <x:v>0</x:v>
      </x:c>
      <x:c r="E235" s="13" t="n">
        <x:v>1</x:v>
      </x:c>
    </x:row>
    <x:row r="236">
      <x:c r="A236" s="2" t="str">
        <x:v>tejas para techos de barro</x:v>
      </x:c>
      <x:c r="B236" s="11" t="n">
        <x:v>0</x:v>
      </x:c>
      <x:c r="C236" s="11" t="n">
        <x:v>2</x:v>
      </x:c>
      <x:c r="D236" s="12" t="n">
        <x:v>0</x:v>
      </x:c>
      <x:c r="E236" s="13" t="n">
        <x:v>1</x:v>
      </x:c>
    </x:row>
    <x:row r="237">
      <x:c r="A237" s="2" t="str">
        <x:v>cuánto cuesta una teja de barro</x:v>
      </x:c>
      <x:c r="B237" s="11" t="n">
        <x:v>0</x:v>
      </x:c>
      <x:c r="C237" s="11" t="n">
        <x:v>2</x:v>
      </x:c>
      <x:c r="D237" s="12" t="n">
        <x:v>0</x:v>
      </x:c>
      <x:c r="E237" s="13" t="n">
        <x:v>1.5</x:v>
      </x:c>
    </x:row>
    <x:row r="238">
      <x:c r="A238" s="2" t="str">
        <x:v>piso</x:v>
      </x:c>
      <x:c r="B238" s="11" t="n">
        <x:v>0</x:v>
      </x:c>
      <x:c r="C238" s="11" t="n">
        <x:v>2</x:v>
      </x:c>
      <x:c r="D238" s="12" t="n">
        <x:v>0</x:v>
      </x:c>
      <x:c r="E238" s="13" t="n">
        <x:v>1.5</x:v>
      </x:c>
    </x:row>
    <x:row r="239">
      <x:c r="A239" s="2" t="str">
        <x:v>precio de las tejas de barro</x:v>
      </x:c>
      <x:c r="B239" s="11" t="n">
        <x:v>0</x:v>
      </x:c>
      <x:c r="C239" s="11" t="n">
        <x:v>2</x:v>
      </x:c>
      <x:c r="D239" s="12" t="n">
        <x:v>0</x:v>
      </x:c>
      <x:c r="E239" s="13" t="n">
        <x:v>1.5</x:v>
      </x:c>
    </x:row>
    <x:row r="240">
      <x:c r="A240" s="2" t="str">
        <x:v>ladrillos</x:v>
      </x:c>
      <x:c r="B240" s="11" t="n">
        <x:v>0</x:v>
      </x:c>
      <x:c r="C240" s="11" t="n">
        <x:v>2</x:v>
      </x:c>
      <x:c r="D240" s="12" t="n">
        <x:v>0</x:v>
      </x:c>
      <x:c r="E240" s="13" t="n">
        <x:v>2</x:v>
      </x:c>
    </x:row>
    <x:row r="241">
      <x:c r="A241" s="2" t="str">
        <x:v>imagenes</x:v>
      </x:c>
      <x:c r="B241" s="11" t="n">
        <x:v>0</x:v>
      </x:c>
      <x:c r="C241" s="11" t="n">
        <x:v>2</x:v>
      </x:c>
      <x:c r="D241" s="12" t="n">
        <x:v>0</x:v>
      </x:c>
      <x:c r="E241" s="13" t="n">
        <x:v>2.5</x:v>
      </x:c>
    </x:row>
    <x:row r="242">
      <x:c r="A242" s="2" t="str">
        <x:v>precio de teja de barro por pieza</x:v>
      </x:c>
      <x:c r="B242" s="11" t="n">
        <x:v>0</x:v>
      </x:c>
      <x:c r="C242" s="11" t="n">
        <x:v>2</x:v>
      </x:c>
      <x:c r="D242" s="12" t="n">
        <x:v>0</x:v>
      </x:c>
      <x:c r="E242" s="13" t="n">
        <x:v>2.5</x:v>
      </x:c>
    </x:row>
    <x:row r="243">
      <x:c r="A243" s="2" t="str">
        <x:v>costo teja de barro</x:v>
      </x:c>
      <x:c r="B243" s="11" t="n">
        <x:v>0</x:v>
      </x:c>
      <x:c r="C243" s="11" t="n">
        <x:v>2</x:v>
      </x:c>
      <x:c r="D243" s="12" t="n">
        <x:v>0</x:v>
      </x:c>
      <x:c r="E243" s="13" t="n">
        <x:v>3</x:v>
      </x:c>
    </x:row>
    <x:row r="244">
      <x:c r="A244" s="2" t="str">
        <x:v>imágenes</x:v>
      </x:c>
      <x:c r="B244" s="11" t="n">
        <x:v>0</x:v>
      </x:c>
      <x:c r="C244" s="11" t="n">
        <x:v>2</x:v>
      </x:c>
      <x:c r="D244" s="12" t="n">
        <x:v>0</x:v>
      </x:c>
      <x:c r="E244" s="13" t="n">
        <x:v>3</x:v>
      </x:c>
    </x:row>
    <x:row r="245">
      <x:c r="A245" s="2" t="str">
        <x:v>chapas de ladrillo</x:v>
      </x:c>
      <x:c r="B245" s="11" t="n">
        <x:v>0</x:v>
      </x:c>
      <x:c r="C245" s="11" t="n">
        <x:v>2</x:v>
      </x:c>
      <x:c r="D245" s="12" t="n">
        <x:v>0</x:v>
      </x:c>
      <x:c r="E245" s="13" t="n">
        <x:v>3.5</x:v>
      </x:c>
    </x:row>
    <x:row r="246">
      <x:c r="A246" s="2" t="str">
        <x:v>loseta de barro precio m2</x:v>
      </x:c>
      <x:c r="B246" s="11" t="n">
        <x:v>0</x:v>
      </x:c>
      <x:c r="C246" s="11" t="n">
        <x:v>2</x:v>
      </x:c>
      <x:c r="D246" s="12" t="n">
        <x:v>0</x:v>
      </x:c>
      <x:c r="E246" s="13" t="n">
        <x:v>3.5</x:v>
      </x:c>
    </x:row>
    <x:row r="247">
      <x:c r="A247" s="2" t="str">
        <x:v>teja plana precio</x:v>
      </x:c>
      <x:c r="B247" s="11" t="n">
        <x:v>0</x:v>
      </x:c>
      <x:c r="C247" s="11" t="n">
        <x:v>2</x:v>
      </x:c>
      <x:c r="D247" s="12" t="n">
        <x:v>0</x:v>
      </x:c>
      <x:c r="E247" s="13" t="n">
        <x:v>3.5</x:v>
      </x:c>
    </x:row>
    <x:row r="248">
      <x:c r="A248" s="2" t="str">
        <x:v>ladrillos macizos precio</x:v>
      </x:c>
      <x:c r="B248" s="11" t="n">
        <x:v>0</x:v>
      </x:c>
      <x:c r="C248" s="11" t="n">
        <x:v>2</x:v>
      </x:c>
      <x:c r="D248" s="12" t="n">
        <x:v>0</x:v>
      </x:c>
      <x:c r="E248" s="13" t="n">
        <x:v>4</x:v>
      </x:c>
    </x:row>
    <x:row r="249">
      <x:c r="A249" s="2" t="str">
        <x:v>celosia arcilla</x:v>
      </x:c>
      <x:c r="B249" s="11" t="n">
        <x:v>0</x:v>
      </x:c>
      <x:c r="C249" s="11" t="n">
        <x:v>2</x:v>
      </x:c>
      <x:c r="D249" s="12" t="n">
        <x:v>0</x:v>
      </x:c>
      <x:c r="E249" s="13" t="n">
        <x:v>5</x:v>
      </x:c>
    </x:row>
    <x:row r="250">
      <x:c r="A250" s="2" t="str">
        <x:v>le clay</x:v>
      </x:c>
      <x:c r="B250" s="11" t="n">
        <x:v>0</x:v>
      </x:c>
      <x:c r="C250" s="11" t="n">
        <x:v>2</x:v>
      </x:c>
      <x:c r="D250" s="12" t="n">
        <x:v>0</x:v>
      </x:c>
      <x:c r="E250" s="13" t="n">
        <x:v>5.5</x:v>
      </x:c>
    </x:row>
    <x:row r="251">
      <x:c r="A251" s="2" t="str">
        <x:v>ladrilleras</x:v>
      </x:c>
      <x:c r="B251" s="11" t="n">
        <x:v>0</x:v>
      </x:c>
      <x:c r="C251" s="11" t="n">
        <x:v>2</x:v>
      </x:c>
      <x:c r="D251" s="12" t="n">
        <x:v>0</x:v>
      </x:c>
      <x:c r="E251" s="13" t="n">
        <x:v>6</x:v>
      </x:c>
    </x:row>
    <x:row r="252">
      <x:c r="A252" s="2" t="str">
        <x:v>ladrillo de arcilla macizo</x:v>
      </x:c>
      <x:c r="B252" s="11" t="n">
        <x:v>0</x:v>
      </x:c>
      <x:c r="C252" s="11" t="n">
        <x:v>2</x:v>
      </x:c>
      <x:c r="D252" s="12" t="n">
        <x:v>0</x:v>
      </x:c>
      <x:c r="E252" s="13" t="n">
        <x:v>6.5</x:v>
      </x:c>
    </x:row>
    <x:row r="253">
      <x:c r="A253" s="2" t="str">
        <x:v>ladrillo matizado</x:v>
      </x:c>
      <x:c r="B253" s="11" t="n">
        <x:v>0</x:v>
      </x:c>
      <x:c r="C253" s="11" t="n">
        <x:v>2</x:v>
      </x:c>
      <x:c r="D253" s="12" t="n">
        <x:v>0</x:v>
      </x:c>
      <x:c r="E253" s="13" t="n">
        <x:v>6.5</x:v>
      </x:c>
    </x:row>
    <x:row r="254">
      <x:c r="A254" s="2" t="str">
        <x:v>medida de la teja de barro</x:v>
      </x:c>
      <x:c r="B254" s="11" t="n">
        <x:v>0</x:v>
      </x:c>
      <x:c r="C254" s="11" t="n">
        <x:v>2</x:v>
      </x:c>
      <x:c r="D254" s="12" t="n">
        <x:v>0</x:v>
      </x:c>
      <x:c r="E254" s="13" t="n">
        <x:v>6.5</x:v>
      </x:c>
    </x:row>
    <x:row r="255">
      <x:c r="A255" s="2" t="str">
        <x:v>ladrillo de barro</x:v>
      </x:c>
      <x:c r="B255" s="11" t="n">
        <x:v>0</x:v>
      </x:c>
      <x:c r="C255" s="11" t="n">
        <x:v>2</x:v>
      </x:c>
      <x:c r="D255" s="12" t="n">
        <x:v>0</x:v>
      </x:c>
      <x:c r="E255" s="13" t="n">
        <x:v>7</x:v>
      </x:c>
    </x:row>
    <x:row r="256">
      <x:c r="A256" s="2" t="str">
        <x:v>ladrillo para divisiones</x:v>
      </x:c>
      <x:c r="B256" s="11" t="n">
        <x:v>0</x:v>
      </x:c>
      <x:c r="C256" s="11" t="n">
        <x:v>2</x:v>
      </x:c>
      <x:c r="D256" s="12" t="n">
        <x:v>0</x:v>
      </x:c>
      <x:c r="E256" s="13" t="n">
        <x:v>7</x:v>
      </x:c>
    </x:row>
    <x:row r="257">
      <x:c r="A257" s="2" t="str">
        <x:v>precio teja plana</x:v>
      </x:c>
      <x:c r="B257" s="11" t="n">
        <x:v>0</x:v>
      </x:c>
      <x:c r="C257" s="11" t="n">
        <x:v>2</x:v>
      </x:c>
      <x:c r="D257" s="12" t="n">
        <x:v>0</x:v>
      </x:c>
      <x:c r="E257" s="13" t="n">
        <x:v>7</x:v>
      </x:c>
    </x:row>
    <x:row r="258">
      <x:c r="A258" s="2" t="str">
        <x:v>ladrillo a la vista precio unidad</x:v>
      </x:c>
      <x:c r="B258" s="11" t="n">
        <x:v>0</x:v>
      </x:c>
      <x:c r="C258" s="11" t="n">
        <x:v>2</x:v>
      </x:c>
      <x:c r="D258" s="12" t="n">
        <x:v>0</x:v>
      </x:c>
      <x:c r="E258" s="13" t="n">
        <x:v>7.5</x:v>
      </x:c>
    </x:row>
    <x:row r="259">
      <x:c r="A259" s="2" t="str">
        <x:v>ladrillo para piso exterior precio</x:v>
      </x:c>
      <x:c r="B259" s="11" t="n">
        <x:v>0</x:v>
      </x:c>
      <x:c r="C259" s="11" t="n">
        <x:v>2</x:v>
      </x:c>
      <x:c r="D259" s="12" t="n">
        <x:v>0</x:v>
      </x:c>
      <x:c r="E259" s="13" t="n">
        <x:v>7.5</x:v>
      </x:c>
    </x:row>
    <x:row r="260">
      <x:c r="A260" s="2" t="str">
        <x:v>medidas teja colonial</x:v>
      </x:c>
      <x:c r="B260" s="11" t="n">
        <x:v>0</x:v>
      </x:c>
      <x:c r="C260" s="11" t="n">
        <x:v>2</x:v>
      </x:c>
      <x:c r="D260" s="12" t="n">
        <x:v>0</x:v>
      </x:c>
      <x:c r="E260" s="13" t="n">
        <x:v>7.5</x:v>
      </x:c>
    </x:row>
    <x:row r="261">
      <x:c r="A261" s="2" t="str">
        <x:v>adobe prensado</x:v>
      </x:c>
      <x:c r="B261" s="11" t="n">
        <x:v>0</x:v>
      </x:c>
      <x:c r="C261" s="11" t="n">
        <x:v>2</x:v>
      </x:c>
      <x:c r="D261" s="12" t="n">
        <x:v>0</x:v>
      </x:c>
      <x:c r="E261" s="13" t="n">
        <x:v>8</x:v>
      </x:c>
    </x:row>
    <x:row r="262">
      <x:c r="A262" s="2" t="str">
        <x:v>ladrillo de vista precio</x:v>
      </x:c>
      <x:c r="B262" s="11" t="n">
        <x:v>0</x:v>
      </x:c>
      <x:c r="C262" s="11" t="n">
        <x:v>2</x:v>
      </x:c>
      <x:c r="D262" s="12" t="n">
        <x:v>0</x:v>
      </x:c>
      <x:c r="E262" s="13" t="n">
        <x:v>8</x:v>
      </x:c>
    </x:row>
    <x:row r="263">
      <x:c r="A263" s="2" t="str">
        <x:v>ladrillo exterior</x:v>
      </x:c>
      <x:c r="B263" s="11" t="n">
        <x:v>0</x:v>
      </x:c>
      <x:c r="C263" s="11" t="n">
        <x:v>2</x:v>
      </x:c>
      <x:c r="D263" s="12" t="n">
        <x:v>0</x:v>
      </x:c>
      <x:c r="E263" s="13" t="n">
        <x:v>8</x:v>
      </x:c>
    </x:row>
    <x:row r="264">
      <x:c r="A264" s="2" t="str">
        <x:v>ladrillo para enchape</x:v>
      </x:c>
      <x:c r="B264" s="11" t="n">
        <x:v>0</x:v>
      </x:c>
      <x:c r="C264" s="11" t="n">
        <x:v>2</x:v>
      </x:c>
      <x:c r="D264" s="12" t="n">
        <x:v>0</x:v>
      </x:c>
      <x:c r="E264" s="13" t="n">
        <x:v>8</x:v>
      </x:c>
    </x:row>
    <x:row r="265">
      <x:c r="A265" s="2" t="str">
        <x:v>tejas plana</x:v>
      </x:c>
      <x:c r="B265" s="11" t="n">
        <x:v>0</x:v>
      </x:c>
      <x:c r="C265" s="11" t="n">
        <x:v>2</x:v>
      </x:c>
      <x:c r="D265" s="12" t="n">
        <x:v>0</x:v>
      </x:c>
      <x:c r="E265" s="13" t="n">
        <x:v>8</x:v>
      </x:c>
    </x:row>
    <x:row r="266">
      <x:c r="A266" s="2" t="str">
        <x:v>medida teja colonial</x:v>
      </x:c>
      <x:c r="B266" s="11" t="n">
        <x:v>0</x:v>
      </x:c>
      <x:c r="C266" s="11" t="n">
        <x:v>2</x:v>
      </x:c>
      <x:c r="D266" s="12" t="n">
        <x:v>0</x:v>
      </x:c>
      <x:c r="E266" s="13" t="n">
        <x:v>8.5</x:v>
      </x:c>
    </x:row>
    <x:row r="267">
      <x:c r="A267" s="2" t="str">
        <x:v>pisos barro</x:v>
      </x:c>
      <x:c r="B267" s="11" t="n">
        <x:v>0</x:v>
      </x:c>
      <x:c r="C267" s="11" t="n">
        <x:v>2</x:v>
      </x:c>
      <x:c r="D267" s="12" t="n">
        <x:v>0</x:v>
      </x:c>
      <x:c r="E267" s="13" t="n">
        <x:v>8.5</x:v>
      </x:c>
    </x:row>
    <x:row r="268">
      <x:c r="A268" s="2" t="str">
        <x:v>clay home</x:v>
      </x:c>
      <x:c r="B268" s="11" t="n">
        <x:v>0</x:v>
      </x:c>
      <x:c r="C268" s="11" t="n">
        <x:v>2</x:v>
      </x:c>
      <x:c r="D268" s="12" t="n">
        <x:v>0</x:v>
      </x:c>
      <x:c r="E268" s="13" t="n">
        <x:v>10</x:v>
      </x:c>
    </x:row>
    <x:row r="269">
      <x:c r="A269" s="2" t="str">
        <x:v>perfil colonial</x:v>
      </x:c>
      <x:c r="B269" s="11" t="n">
        <x:v>0</x:v>
      </x:c>
      <x:c r="C269" s="11" t="n">
        <x:v>2</x:v>
      </x:c>
      <x:c r="D269" s="12" t="n">
        <x:v>0</x:v>
      </x:c>
      <x:c r="E269" s="13" t="n">
        <x:v>10</x:v>
      </x:c>
    </x:row>
    <x:row r="270">
      <x:c r="A270" s="2" t="str">
        <x:v>rayado horizontal</x:v>
      </x:c>
      <x:c r="B270" s="11" t="n">
        <x:v>0</x:v>
      </x:c>
      <x:c r="C270" s="11" t="n">
        <x:v>2</x:v>
      </x:c>
      <x:c r="D270" s="12" t="n">
        <x:v>0</x:v>
      </x:c>
      <x:c r="E270" s="13" t="n">
        <x:v>10.5</x:v>
      </x:c>
    </x:row>
    <x:row r="271">
      <x:c r="A271" s="2" t="str">
        <x:v>techo teja plana</x:v>
      </x:c>
      <x:c r="B271" s="11" t="n">
        <x:v>0</x:v>
      </x:c>
      <x:c r="C271" s="11" t="n">
        <x:v>2</x:v>
      </x:c>
      <x:c r="D271" s="12" t="n">
        <x:v>0</x:v>
      </x:c>
      <x:c r="E271" s="13" t="n">
        <x:v>10.5</x:v>
      </x:c>
    </x:row>
    <x:row r="272">
      <x:c r="A272" s="2" t="str">
        <x:v>ladrillo catalán</x:v>
      </x:c>
      <x:c r="B272" s="11" t="n">
        <x:v>0</x:v>
      </x:c>
      <x:c r="C272" s="11" t="n">
        <x:v>2</x:v>
      </x:c>
      <x:c r="D272" s="12" t="n">
        <x:v>0</x:v>
      </x:c>
      <x:c r="E272" s="13" t="n">
        <x:v>11</x:v>
      </x:c>
    </x:row>
    <x:row r="273">
      <x:c r="A273" s="2" t="str">
        <x:v>techo teja colonial</x:v>
      </x:c>
      <x:c r="B273" s="11" t="n">
        <x:v>0</x:v>
      </x:c>
      <x:c r="C273" s="11" t="n">
        <x:v>2</x:v>
      </x:c>
      <x:c r="D273" s="12" t="n">
        <x:v>0</x:v>
      </x:c>
      <x:c r="E273" s="13" t="n">
        <x:v>11</x:v>
      </x:c>
    </x:row>
    <x:row r="274">
      <x:c r="A274" s="2" t="str">
        <x:v>teja colonial pvc precio</x:v>
      </x:c>
      <x:c r="B274" s="11" t="n">
        <x:v>0</x:v>
      </x:c>
      <x:c r="C274" s="11" t="n">
        <x:v>2</x:v>
      </x:c>
      <x:c r="D274" s="12" t="n">
        <x:v>0</x:v>
      </x:c>
      <x:c r="E274" s="13" t="n">
        <x:v>11</x:v>
      </x:c>
    </x:row>
    <x:row r="275">
      <x:c r="A275" s="2" t="str">
        <x:v>teja de barro para techo</x:v>
      </x:c>
      <x:c r="B275" s="11" t="n">
        <x:v>0</x:v>
      </x:c>
      <x:c r="C275" s="11" t="n">
        <x:v>2</x:v>
      </x:c>
      <x:c r="D275" s="12" t="n">
        <x:v>0</x:v>
      </x:c>
      <x:c r="E275" s="13" t="n">
        <x:v>11</x:v>
      </x:c>
    </x:row>
    <x:row r="276">
      <x:c r="A276" s="2" t="str">
        <x:v>ladrillo de piso</x:v>
      </x:c>
      <x:c r="B276" s="11" t="n">
        <x:v>0</x:v>
      </x:c>
      <x:c r="C276" s="11" t="n">
        <x:v>2</x:v>
      </x:c>
      <x:c r="D276" s="12" t="n">
        <x:v>0</x:v>
      </x:c>
      <x:c r="E276" s="13" t="n">
        <x:v>12</x:v>
      </x:c>
    </x:row>
    <x:row r="277">
      <x:c r="A277" s="2" t="str">
        <x:v>ladrillo precio</x:v>
      </x:c>
      <x:c r="B277" s="11" t="n">
        <x:v>0</x:v>
      </x:c>
      <x:c r="C277" s="11" t="n">
        <x:v>2</x:v>
      </x:c>
      <x:c r="D277" s="12" t="n">
        <x:v>0</x:v>
      </x:c>
      <x:c r="E277" s="13" t="n">
        <x:v>12</x:v>
      </x:c>
    </x:row>
    <x:row r="278">
      <x:c r="A278" s="2" t="str">
        <x:v>clauy</x:v>
      </x:c>
      <x:c r="B278" s="11" t="n">
        <x:v>0</x:v>
      </x:c>
      <x:c r="C278" s="11" t="n">
        <x:v>2</x:v>
      </x:c>
      <x:c r="D278" s="12" t="n">
        <x:v>0</x:v>
      </x:c>
      <x:c r="E278" s="13" t="n">
        <x:v>12.5</x:v>
      </x:c>
    </x:row>
    <x:row r="279">
      <x:c r="A279" s="2" t="str">
        <x:v>teja plana gris</x:v>
      </x:c>
      <x:c r="B279" s="11" t="n">
        <x:v>0</x:v>
      </x:c>
      <x:c r="C279" s="11" t="n">
        <x:v>2</x:v>
      </x:c>
      <x:c r="D279" s="12" t="n">
        <x:v>0</x:v>
      </x:c>
      <x:c r="E279" s="13" t="n">
        <x:v>13</x:v>
      </x:c>
    </x:row>
    <x:row r="280">
      <x:c r="A280" s="2" t="str">
        <x:v>ladrilleras en el oriente antioqueño</x:v>
      </x:c>
      <x:c r="B280" s="11" t="n">
        <x:v>0</x:v>
      </x:c>
      <x:c r="C280" s="11" t="n">
        <x:v>2</x:v>
      </x:c>
      <x:c r="D280" s="12" t="n">
        <x:v>0</x:v>
      </x:c>
      <x:c r="E280" s="13" t="n">
        <x:v>13.5</x:v>
      </x:c>
    </x:row>
    <x:row r="281">
      <x:c r="A281" s="2" t="str">
        <x:v>medidas de una teja colonial</x:v>
      </x:c>
      <x:c r="B281" s="11" t="n">
        <x:v>0</x:v>
      </x:c>
      <x:c r="C281" s="11" t="n">
        <x:v>2</x:v>
      </x:c>
      <x:c r="D281" s="12" t="n">
        <x:v>0</x:v>
      </x:c>
      <x:c r="E281" s="13" t="n">
        <x:v>15</x:v>
      </x:c>
    </x:row>
    <x:row r="282">
      <x:c r="A282" s="2" t="str">
        <x:v>teja imitacion barro</x:v>
      </x:c>
      <x:c r="B282" s="11" t="n">
        <x:v>0</x:v>
      </x:c>
      <x:c r="C282" s="11" t="n">
        <x:v>2</x:v>
      </x:c>
      <x:c r="D282" s="12" t="n">
        <x:v>0</x:v>
      </x:c>
      <x:c r="E282" s="13" t="n">
        <x:v>15</x:v>
      </x:c>
    </x:row>
    <x:row r="283">
      <x:c r="A283" s="2" t="str">
        <x:v>puso house</x:v>
      </x:c>
      <x:c r="B283" s="11" t="n">
        <x:v>0</x:v>
      </x:c>
      <x:c r="C283" s="11" t="n">
        <x:v>2</x:v>
      </x:c>
      <x:c r="D283" s="12" t="n">
        <x:v>0</x:v>
      </x:c>
      <x:c r="E283" s="13" t="n">
        <x:v>15.5</x:v>
      </x:c>
    </x:row>
    <x:row r="284">
      <x:c r="A284" s="2" t="str">
        <x:v>teja colonial terracota</x:v>
      </x:c>
      <x:c r="B284" s="11" t="n">
        <x:v>0</x:v>
      </x:c>
      <x:c r="C284" s="11" t="n">
        <x:v>2</x:v>
      </x:c>
      <x:c r="D284" s="12" t="n">
        <x:v>0</x:v>
      </x:c>
      <x:c r="E284" s="13" t="n">
        <x:v>15.5</x:v>
      </x:c>
    </x:row>
    <x:row r="285">
      <x:c r="A285" s="2" t="str">
        <x:v>piso de 30x30</x:v>
      </x:c>
      <x:c r="B285" s="11" t="n">
        <x:v>0</x:v>
      </x:c>
      <x:c r="C285" s="11" t="n">
        <x:v>2</x:v>
      </x:c>
      <x:c r="D285" s="12" t="n">
        <x:v>0</x:v>
      </x:c>
      <x:c r="E285" s="13" t="n">
        <x:v>18</x:v>
      </x:c>
    </x:row>
    <x:row r="286">
      <x:c r="A286" s="2" t="str">
        <x:v>enchape fachada</x:v>
      </x:c>
      <x:c r="B286" s="11" t="n">
        <x:v>0</x:v>
      </x:c>
      <x:c r="C286" s="11" t="n">
        <x:v>2</x:v>
      </x:c>
      <x:c r="D286" s="12" t="n">
        <x:v>0</x:v>
      </x:c>
      <x:c r="E286" s="13" t="n">
        <x:v>20</x:v>
      </x:c>
    </x:row>
    <x:row r="287">
      <x:c r="A287" s="2" t="str">
        <x:v>casa teja colonial</x:v>
      </x:c>
      <x:c r="B287" s="11" t="n">
        <x:v>0</x:v>
      </x:c>
      <x:c r="C287" s="11" t="n">
        <x:v>2</x:v>
      </x:c>
      <x:c r="D287" s="12" t="n">
        <x:v>0</x:v>
      </x:c>
      <x:c r="E287" s="13" t="n">
        <x:v>21</x:v>
      </x:c>
    </x:row>
    <x:row r="288">
      <x:c r="A288" s="2" t="str">
        <x:v>duro piso 30x30</x:v>
      </x:c>
      <x:c r="B288" s="11" t="n">
        <x:v>0</x:v>
      </x:c>
      <x:c r="C288" s="11" t="n">
        <x:v>2</x:v>
      </x:c>
      <x:c r="D288" s="12" t="n">
        <x:v>0</x:v>
      </x:c>
      <x:c r="E288" s="13" t="n">
        <x:v>21</x:v>
      </x:c>
    </x:row>
    <x:row r="289">
      <x:c r="A289" s="2" t="str">
        <x:v>30*30</x:v>
      </x:c>
      <x:c r="B289" s="11" t="n">
        <x:v>0</x:v>
      </x:c>
      <x:c r="C289" s="11" t="n">
        <x:v>2</x:v>
      </x:c>
      <x:c r="D289" s="12" t="n">
        <x:v>0</x:v>
      </x:c>
      <x:c r="E289" s="13" t="n">
        <x:v>24</x:v>
      </x:c>
    </x:row>
    <x:row r="290">
      <x:c r="A290" s="2" t="str">
        <x:v>medidas de tejas</x:v>
      </x:c>
      <x:c r="B290" s="11" t="n">
        <x:v>0</x:v>
      </x:c>
      <x:c r="C290" s="11" t="n">
        <x:v>2</x:v>
      </x:c>
      <x:c r="D290" s="12" t="n">
        <x:v>0</x:v>
      </x:c>
      <x:c r="E290" s="13" t="n">
        <x:v>27.5</x:v>
      </x:c>
    </x:row>
    <x:row r="291">
      <x:c r="A291" s="2" t="str">
        <x:v>enchapes para muros interiores</x:v>
      </x:c>
      <x:c r="B291" s="11" t="n">
        <x:v>0</x:v>
      </x:c>
      <x:c r="C291" s="11" t="n">
        <x:v>2</x:v>
      </x:c>
      <x:c r="D291" s="12" t="n">
        <x:v>0</x:v>
      </x:c>
      <x:c r="E291" s="13" t="n">
        <x:v>30.5</x:v>
      </x:c>
    </x:row>
    <x:row r="292">
      <x:c r="A292" s="2" t="str">
        <x:v>ladrillera medellin</x:v>
      </x:c>
      <x:c r="B292" s="11" t="n">
        <x:v>0</x:v>
      </x:c>
      <x:c r="C292" s="11" t="n">
        <x:v>2</x:v>
      </x:c>
      <x:c r="D292" s="12" t="n">
        <x:v>0</x:v>
      </x:c>
      <x:c r="E292" s="13" t="n">
        <x:v>34</x:v>
      </x:c>
    </x:row>
    <x:row r="293">
      <x:c r="A293" s="2" t="str">
        <x:v>cuanto pesa una teja de barro</x:v>
      </x:c>
      <x:c r="B293" s="11" t="n">
        <x:v>0</x:v>
      </x:c>
      <x:c r="C293" s="11" t="n">
        <x:v>2</x:v>
      </x:c>
      <x:c r="D293" s="12" t="n">
        <x:v>0</x:v>
      </x:c>
      <x:c r="E293" s="13" t="n">
        <x:v>50</x:v>
      </x:c>
    </x:row>
    <x:row r="294">
      <x:c r="A294" s="2" t="str">
        <x:v>enchapes para casas</x:v>
      </x:c>
      <x:c r="B294" s="11" t="n">
        <x:v>0</x:v>
      </x:c>
      <x:c r="C294" s="11" t="n">
        <x:v>2</x:v>
      </x:c>
      <x:c r="D294" s="12" t="n">
        <x:v>0</x:v>
      </x:c>
      <x:c r="E294" s="13" t="n">
        <x:v>50</x:v>
      </x:c>
    </x:row>
    <x:row r="295">
      <x:c r="A295" s="2" t="str">
        <x:v>casas prefabricadas en ladrillo catalán</x:v>
      </x:c>
      <x:c r="B295" s="11" t="n">
        <x:v>0</x:v>
      </x:c>
      <x:c r="C295" s="11" t="n">
        <x:v>2</x:v>
      </x:c>
      <x:c r="D295" s="12" t="n">
        <x:v>0</x:v>
      </x:c>
      <x:c r="E295" s="13" t="n">
        <x:v>50.5</x:v>
      </x:c>
    </x:row>
    <x:row r="296">
      <x:c r="A296" s="2" t="str">
        <x:v>10 pisos</x:v>
      </x:c>
      <x:c r="B296" s="11" t="n">
        <x:v>0</x:v>
      </x:c>
      <x:c r="C296" s="11" t="n">
        <x:v>1</x:v>
      </x:c>
      <x:c r="D296" s="12" t="n">
        <x:v>0</x:v>
      </x:c>
      <x:c r="E296" s="13" t="n">
        <x:v>1</x:v>
      </x:c>
    </x:row>
    <x:row r="297">
      <x:c r="A297" s="2" t="str">
        <x:v>adobes amaga</x:v>
      </x:c>
      <x:c r="B297" s="11" t="n">
        <x:v>0</x:v>
      </x:c>
      <x:c r="C297" s="11" t="n">
        <x:v>1</x:v>
      </x:c>
      <x:c r="D297" s="12" t="n">
        <x:v>0</x:v>
      </x:c>
      <x:c r="E297" s="13" t="n">
        <x:v>1</x:v>
      </x:c>
    </x:row>
    <x:row r="298">
      <x:c r="A298" s="2" t="str">
        <x:v>bloque visto precio</x:v>
      </x:c>
      <x:c r="B298" s="11" t="n">
        <x:v>0</x:v>
      </x:c>
      <x:c r="C298" s="11" t="n">
        <x:v>1</x:v>
      </x:c>
      <x:c r="D298" s="12" t="n">
        <x:v>0</x:v>
      </x:c>
      <x:c r="E298" s="13" t="n">
        <x:v>1</x:v>
      </x:c>
    </x:row>
    <x:row r="299">
      <x:c r="A299" s="2" t="str">
        <x:v>bloques de hormigon</x:v>
      </x:c>
      <x:c r="B299" s="11" t="n">
        <x:v>0</x:v>
      </x:c>
      <x:c r="C299" s="11" t="n">
        <x:v>1</x:v>
      </x:c>
      <x:c r="D299" s="12" t="n">
        <x:v>0</x:v>
      </x:c>
      <x:c r="E299" s="13" t="n">
        <x:v>1</x:v>
      </x:c>
    </x:row>
    <x:row r="300">
      <x:c r="A300" s="2" t="str">
        <x:v>caly house</x:v>
      </x:c>
      <x:c r="B300" s="11" t="n">
        <x:v>0</x:v>
      </x:c>
      <x:c r="C300" s="11" t="n">
        <x:v>1</x:v>
      </x:c>
      <x:c r="D300" s="12" t="n">
        <x:v>0</x:v>
      </x:c>
      <x:c r="E300" s="13" t="n">
        <x:v>1</x:v>
      </x:c>
    </x:row>
    <x:row r="301">
      <x:c r="A301" s="2" t="str">
        <x:v>clays house</x:v>
      </x:c>
      <x:c r="B301" s="11" t="n">
        <x:v>0</x:v>
      </x:c>
      <x:c r="C301" s="11" t="n">
        <x:v>1</x:v>
      </x:c>
      <x:c r="D301" s="12" t="n">
        <x:v>0</x:v>
      </x:c>
      <x:c r="E301" s="13" t="n">
        <x:v>1</x:v>
      </x:c>
    </x:row>
    <x:row r="302">
      <x:c r="A302" s="2" t="str">
        <x:v>cley house</x:v>
      </x:c>
      <x:c r="B302" s="11" t="n">
        <x:v>0</x:v>
      </x:c>
      <x:c r="C302" s="11" t="n">
        <x:v>1</x:v>
      </x:c>
      <x:c r="D302" s="12" t="n">
        <x:v>0</x:v>
      </x:c>
      <x:c r="E302" s="13" t="n">
        <x:v>1</x:v>
      </x:c>
    </x:row>
    <x:row r="303">
      <x:c r="A303" s="2" t="str">
        <x:v>cly house</x:v>
      </x:c>
      <x:c r="B303" s="11" t="n">
        <x:v>0</x:v>
      </x:c>
      <x:c r="C303" s="11" t="n">
        <x:v>1</x:v>
      </x:c>
      <x:c r="D303" s="12" t="n">
        <x:v>0</x:v>
      </x:c>
      <x:c r="E303" s="13" t="n">
        <x:v>1</x:v>
      </x:c>
    </x:row>
    <x:row r="304">
      <x:c r="A304" s="2" t="str">
        <x:v>costo de teja</x:v>
      </x:c>
      <x:c r="B304" s="11" t="n">
        <x:v>0</x:v>
      </x:c>
      <x:c r="C304" s="11" t="n">
        <x:v>1</x:v>
      </x:c>
      <x:c r="D304" s="12" t="n">
        <x:v>0</x:v>
      </x:c>
      <x:c r="E304" s="13" t="n">
        <x:v>1</x:v>
      </x:c>
    </x:row>
    <x:row r="305">
      <x:c r="A305" s="2" t="str">
        <x:v>cuanto cuesta la teja de barro</x:v>
      </x:c>
      <x:c r="B305" s="11" t="n">
        <x:v>0</x:v>
      </x:c>
      <x:c r="C305" s="11" t="n">
        <x:v>1</x:v>
      </x:c>
      <x:c r="D305" s="12" t="n">
        <x:v>0</x:v>
      </x:c>
      <x:c r="E305" s="13" t="n">
        <x:v>1</x:v>
      </x:c>
    </x:row>
    <x:row r="306">
      <x:c r="A306" s="2" t="str">
        <x:v>cuanto vale la teja de barro</x:v>
      </x:c>
      <x:c r="B306" s="11" t="n">
        <x:v>0</x:v>
      </x:c>
      <x:c r="C306" s="11" t="n">
        <x:v>1</x:v>
      </x:c>
      <x:c r="D306" s="12" t="n">
        <x:v>0</x:v>
      </x:c>
      <x:c r="E306" s="13" t="n">
        <x:v>1</x:v>
      </x:c>
    </x:row>
    <x:row r="307">
      <x:c r="A307" s="2" t="str">
        <x:v>cuanto vale una teja</x:v>
      </x:c>
      <x:c r="B307" s="11" t="n">
        <x:v>0</x:v>
      </x:c>
      <x:c r="C307" s="11" t="n">
        <x:v>1</x:v>
      </x:c>
      <x:c r="D307" s="12" t="n">
        <x:v>0</x:v>
      </x:c>
      <x:c r="E307" s="13" t="n">
        <x:v>1</x:v>
      </x:c>
    </x:row>
    <x:row r="308">
      <x:c r="A308" s="2" t="str">
        <x:v>cuanto valen las tejas de barro</x:v>
      </x:c>
      <x:c r="B308" s="11" t="n">
        <x:v>0</x:v>
      </x:c>
      <x:c r="C308" s="11" t="n">
        <x:v>1</x:v>
      </x:c>
      <x:c r="D308" s="12" t="n">
        <x:v>0</x:v>
      </x:c>
      <x:c r="E308" s="13" t="n">
        <x:v>1</x:v>
      </x:c>
    </x:row>
    <x:row r="309">
      <x:c r="A309" s="2" t="str">
        <x:v>cuánto vale una teja de barro</x:v>
      </x:c>
      <x:c r="B309" s="11" t="n">
        <x:v>0</x:v>
      </x:c>
      <x:c r="C309" s="11" t="n">
        <x:v>1</x:v>
      </x:c>
      <x:c r="D309" s="12" t="n">
        <x:v>0</x:v>
      </x:c>
      <x:c r="E309" s="13" t="n">
        <x:v>1</x:v>
      </x:c>
    </x:row>
    <x:row r="310">
      <x:c r="A310" s="2" t="str">
        <x:v>decorativos</x:v>
      </x:c>
      <x:c r="B310" s="11" t="n">
        <x:v>0</x:v>
      </x:c>
      <x:c r="C310" s="11" t="n">
        <x:v>1</x:v>
      </x:c>
      <x:c r="D310" s="12" t="n">
        <x:v>0</x:v>
      </x:c>
      <x:c r="E310" s="13" t="n">
        <x:v>1</x:v>
      </x:c>
    </x:row>
    <x:row r="311">
      <x:c r="A311" s="2" t="str">
        <x:v>imágenes para ver</x:v>
      </x:c>
      <x:c r="B311" s="11" t="n">
        <x:v>0</x:v>
      </x:c>
      <x:c r="C311" s="11" t="n">
        <x:v>1</x:v>
      </x:c>
      <x:c r="D311" s="12" t="n">
        <x:v>0</x:v>
      </x:c>
      <x:c r="E311" s="13" t="n">
        <x:v>1</x:v>
      </x:c>
    </x:row>
    <x:row r="312">
      <x:c r="A312" s="2" t="str">
        <x:v>ladrillera</x:v>
      </x:c>
      <x:c r="B312" s="11" t="n">
        <x:v>0</x:v>
      </x:c>
      <x:c r="C312" s="11" t="n">
        <x:v>1</x:v>
      </x:c>
      <x:c r="D312" s="12" t="n">
        <x:v>0</x:v>
      </x:c>
      <x:c r="E312" s="13" t="n">
        <x:v>1</x:v>
      </x:c>
    </x:row>
    <x:row r="313">
      <x:c r="A313" s="2" t="str">
        <x:v>ladrillo limpio</x:v>
      </x:c>
      <x:c r="B313" s="11" t="n">
        <x:v>0</x:v>
      </x:c>
      <x:c r="C313" s="11" t="n">
        <x:v>1</x:v>
      </x:c>
      <x:c r="D313" s="12" t="n">
        <x:v>0</x:v>
      </x:c>
      <x:c r="E313" s="13" t="n">
        <x:v>1</x:v>
      </x:c>
    </x:row>
    <x:row r="314">
      <x:c r="A314" s="2" t="str">
        <x:v>ladrillo limpio precio</x:v>
      </x:c>
      <x:c r="B314" s="11" t="n">
        <x:v>0</x:v>
      </x:c>
      <x:c r="C314" s="11" t="n">
        <x:v>1</x:v>
      </x:c>
      <x:c r="D314" s="12" t="n">
        <x:v>0</x:v>
      </x:c>
      <x:c r="E314" s="13" t="n">
        <x:v>1</x:v>
      </x:c>
    </x:row>
    <x:row r="315">
      <x:c r="A315" s="2" t="str">
        <x:v>ladrillo masizo</x:v>
      </x:c>
      <x:c r="B315" s="11" t="n">
        <x:v>0</x:v>
      </x:c>
      <x:c r="C315" s="11" t="n">
        <x:v>1</x:v>
      </x:c>
      <x:c r="D315" s="12" t="n">
        <x:v>0</x:v>
      </x:c>
      <x:c r="E315" s="13" t="n">
        <x:v>1</x:v>
      </x:c>
    </x:row>
    <x:row r="316">
      <x:c r="A316" s="2" t="str">
        <x:v>muro divisorio</x:v>
      </x:c>
      <x:c r="B316" s="11" t="n">
        <x:v>0</x:v>
      </x:c>
      <x:c r="C316" s="11" t="n">
        <x:v>1</x:v>
      </x:c>
      <x:c r="D316" s="12" t="n">
        <x:v>0</x:v>
      </x:c>
      <x:c r="E316" s="13" t="n">
        <x:v>1</x:v>
      </x:c>
    </x:row>
    <x:row r="317">
      <x:c r="A317" s="2" t="str">
        <x:v>muro interior</x:v>
      </x:c>
      <x:c r="B317" s="11" t="n">
        <x:v>0</x:v>
      </x:c>
      <x:c r="C317" s="11" t="n">
        <x:v>1</x:v>
      </x:c>
      <x:c r="D317" s="12" t="n">
        <x:v>0</x:v>
      </x:c>
      <x:c r="E317" s="13" t="n">
        <x:v>1</x:v>
      </x:c>
    </x:row>
    <x:row r="318">
      <x:c r="A318" s="2" t="str">
        <x:v>muéstrame imágenes por favor</x:v>
      </x:c>
      <x:c r="B318" s="11" t="n">
        <x:v>0</x:v>
      </x:c>
      <x:c r="C318" s="11" t="n">
        <x:v>1</x:v>
      </x:c>
      <x:c r="D318" s="12" t="n">
        <x:v>0</x:v>
      </x:c>
      <x:c r="E318" s="13" t="n">
        <x:v>1</x:v>
      </x:c>
    </x:row>
    <x:row r="319">
      <x:c r="A319" s="2" t="str">
        <x:v>para piso</x:v>
      </x:c>
      <x:c r="B319" s="11" t="n">
        <x:v>0</x:v>
      </x:c>
      <x:c r="C319" s="11" t="n">
        <x:v>1</x:v>
      </x:c>
      <x:c r="D319" s="12" t="n">
        <x:v>0</x:v>
      </x:c>
      <x:c r="E319" s="13" t="n">
        <x:v>1</x:v>
      </x:c>
    </x:row>
    <x:row r="320">
      <x:c r="A320" s="2" t="str">
        <x:v>precio</x:v>
      </x:c>
      <x:c r="B320" s="11" t="n">
        <x:v>0</x:v>
      </x:c>
      <x:c r="C320" s="11" t="n">
        <x:v>1</x:v>
      </x:c>
      <x:c r="D320" s="12" t="n">
        <x:v>0</x:v>
      </x:c>
      <x:c r="E320" s="13" t="n">
        <x:v>1</x:v>
      </x:c>
    </x:row>
    <x:row r="321">
      <x:c r="A321" s="2" t="str">
        <x:v>precio de ladrillo macizo</x:v>
      </x:c>
      <x:c r="B321" s="11" t="n">
        <x:v>0</x:v>
      </x:c>
      <x:c r="C321" s="11" t="n">
        <x:v>1</x:v>
      </x:c>
      <x:c r="D321" s="12" t="n">
        <x:v>0</x:v>
      </x:c>
      <x:c r="E321" s="13" t="n">
        <x:v>1</x:v>
      </x:c>
    </x:row>
    <x:row r="322">
      <x:c r="A322" s="2" t="str">
        <x:v>precio de teja colonial</x:v>
      </x:c>
      <x:c r="B322" s="11" t="n">
        <x:v>0</x:v>
      </x:c>
      <x:c r="C322" s="11" t="n">
        <x:v>1</x:v>
      </x:c>
      <x:c r="D322" s="12" t="n">
        <x:v>0</x:v>
      </x:c>
      <x:c r="E322" s="13" t="n">
        <x:v>1</x:v>
      </x:c>
    </x:row>
    <x:row r="323">
      <x:c r="A323" s="2" t="str">
        <x:v>precio de tejas de barro</x:v>
      </x:c>
      <x:c r="B323" s="11" t="n">
        <x:v>0</x:v>
      </x:c>
      <x:c r="C323" s="11" t="n">
        <x:v>1</x:v>
      </x:c>
      <x:c r="D323" s="12" t="n">
        <x:v>0</x:v>
      </x:c>
      <x:c r="E323" s="13" t="n">
        <x:v>1</x:v>
      </x:c>
    </x:row>
    <x:row r="324">
      <x:c r="A324" s="2" t="str">
        <x:v>precio del ladrillo macizo</x:v>
      </x:c>
      <x:c r="B324" s="11" t="n">
        <x:v>0</x:v>
      </x:c>
      <x:c r="C324" s="11" t="n">
        <x:v>1</x:v>
      </x:c>
      <x:c r="D324" s="12" t="n">
        <x:v>0</x:v>
      </x:c>
      <x:c r="E324" s="13" t="n">
        <x:v>1</x:v>
      </x:c>
    </x:row>
    <x:row r="325">
      <x:c r="A325" s="2" t="str">
        <x:v>precio m2 muro ladrillo macizo</x:v>
      </x:c>
      <x:c r="B325" s="11" t="n">
        <x:v>0</x:v>
      </x:c>
      <x:c r="C325" s="11" t="n">
        <x:v>1</x:v>
      </x:c>
      <x:c r="D325" s="12" t="n">
        <x:v>0</x:v>
      </x:c>
      <x:c r="E325" s="13" t="n">
        <x:v>1</x:v>
      </x:c>
    </x:row>
    <x:row r="326">
      <x:c r="A326" s="2" t="str">
        <x:v>precios de tejas de barro</x:v>
      </x:c>
      <x:c r="B326" s="11" t="n">
        <x:v>0</x:v>
      </x:c>
      <x:c r="C326" s="11" t="n">
        <x:v>1</x:v>
      </x:c>
      <x:c r="D326" s="12" t="n">
        <x:v>0</x:v>
      </x:c>
      <x:c r="E326" s="13" t="n">
        <x:v>1</x:v>
      </x:c>
    </x:row>
    <x:row r="327">
      <x:c r="A327" s="2" t="str">
        <x:v>pueblo clay house</x:v>
      </x:c>
      <x:c r="B327" s="11" t="n">
        <x:v>0</x:v>
      </x:c>
      <x:c r="C327" s="11" t="n">
        <x:v>1</x:v>
      </x:c>
      <x:c r="D327" s="12" t="n">
        <x:v>0</x:v>
      </x:c>
      <x:c r="E327" s="13" t="n">
        <x:v>1</x:v>
      </x:c>
    </x:row>
    <x:row r="328">
      <x:c r="A328" s="2" t="str">
        <x:v>puedo ver fotos</x:v>
      </x:c>
      <x:c r="B328" s="11" t="n">
        <x:v>0</x:v>
      </x:c>
      <x:c r="C328" s="11" t="n">
        <x:v>1</x:v>
      </x:c>
      <x:c r="D328" s="12" t="n">
        <x:v>0</x:v>
      </x:c>
      <x:c r="E328" s="13" t="n">
        <x:v>1</x:v>
      </x:c>
    </x:row>
    <x:row r="329">
      <x:c r="A329" s="2" t="str">
        <x:v>que precio tiene cada una</x:v>
      </x:c>
      <x:c r="B329" s="11" t="n">
        <x:v>0</x:v>
      </x:c>
      <x:c r="C329" s="11" t="n">
        <x:v>1</x:v>
      </x:c>
      <x:c r="D329" s="12" t="n">
        <x:v>0</x:v>
      </x:c>
      <x:c r="E329" s="13" t="n">
        <x:v>1</x:v>
      </x:c>
    </x:row>
    <x:row r="330">
      <x:c r="A330" s="2" t="str">
        <x:v>teja colonial española precio</x:v>
      </x:c>
      <x:c r="B330" s="11" t="n">
        <x:v>0</x:v>
      </x:c>
      <x:c r="C330" s="11" t="n">
        <x:v>1</x:v>
      </x:c>
      <x:c r="D330" s="12" t="n">
        <x:v>0</x:v>
      </x:c>
      <x:c r="E330" s="13" t="n">
        <x:v>1</x:v>
      </x:c>
    </x:row>
    <x:row r="331">
      <x:c r="A331" s="2" t="str">
        <x:v>teja de barro precio unitario</x:v>
      </x:c>
      <x:c r="B331" s="11" t="n">
        <x:v>0</x:v>
      </x:c>
      <x:c r="C331" s="11" t="n">
        <x:v>1</x:v>
      </x:c>
      <x:c r="D331" s="12" t="n">
        <x:v>0</x:v>
      </x:c>
      <x:c r="E331" s="13" t="n">
        <x:v>1</x:v>
      </x:c>
    </x:row>
    <x:row r="332">
      <x:c r="A332" s="2" t="str">
        <x:v>teja dimensiones</x:v>
      </x:c>
      <x:c r="B332" s="11" t="n">
        <x:v>0</x:v>
      </x:c>
      <x:c r="C332" s="11" t="n">
        <x:v>1</x:v>
      </x:c>
      <x:c r="D332" s="12" t="n">
        <x:v>0</x:v>
      </x:c>
      <x:c r="E332" s="13" t="n">
        <x:v>1</x:v>
      </x:c>
    </x:row>
    <x:row r="333">
      <x:c r="A333" s="2" t="str">
        <x:v>teja española</x:v>
      </x:c>
      <x:c r="B333" s="11" t="n">
        <x:v>0</x:v>
      </x:c>
      <x:c r="C333" s="11" t="n">
        <x:v>1</x:v>
      </x:c>
      <x:c r="D333" s="12" t="n">
        <x:v>0</x:v>
      </x:c>
      <x:c r="E333" s="13" t="n">
        <x:v>1</x:v>
      </x:c>
    </x:row>
    <x:row r="334">
      <x:c r="A334" s="2" t="str">
        <x:v>teja holandesa</x:v>
      </x:c>
      <x:c r="B334" s="11" t="n">
        <x:v>0</x:v>
      </x:c>
      <x:c r="C334" s="11" t="n">
        <x:v>1</x:v>
      </x:c>
      <x:c r="D334" s="12" t="n">
        <x:v>0</x:v>
      </x:c>
      <x:c r="E334" s="13" t="n">
        <x:v>1</x:v>
      </x:c>
    </x:row>
    <x:row r="335">
      <x:c r="A335" s="2" t="str">
        <x:v>teja sevillana eternit precio</x:v>
      </x:c>
      <x:c r="B335" s="11" t="n">
        <x:v>0</x:v>
      </x:c>
      <x:c r="C335" s="11" t="n">
        <x:v>1</x:v>
      </x:c>
      <x:c r="D335" s="12" t="n">
        <x:v>0</x:v>
      </x:c>
      <x:c r="E335" s="13" t="n">
        <x:v>1</x:v>
      </x:c>
    </x:row>
    <x:row r="336">
      <x:c r="A336" s="2" t="str">
        <x:v>tejas arcilla</x:v>
      </x:c>
      <x:c r="B336" s="11" t="n">
        <x:v>0</x:v>
      </x:c>
      <x:c r="C336" s="11" t="n">
        <x:v>1</x:v>
      </x:c>
      <x:c r="D336" s="12" t="n">
        <x:v>0</x:v>
      </x:c>
      <x:c r="E336" s="13" t="n">
        <x:v>1</x:v>
      </x:c>
    </x:row>
    <x:row r="337">
      <x:c r="A337" s="2" t="str">
        <x:v>tejas barro precio</x:v>
      </x:c>
      <x:c r="B337" s="11" t="n">
        <x:v>0</x:v>
      </x:c>
      <x:c r="C337" s="11" t="n">
        <x:v>1</x:v>
      </x:c>
      <x:c r="D337" s="12" t="n">
        <x:v>0</x:v>
      </x:c>
      <x:c r="E337" s="13" t="n">
        <x:v>1</x:v>
      </x:c>
    </x:row>
    <x:row r="338">
      <x:c r="A338" s="2" t="str">
        <x:v>tejas para casas</x:v>
      </x:c>
      <x:c r="B338" s="11" t="n">
        <x:v>0</x:v>
      </x:c>
      <x:c r="C338" s="11" t="n">
        <x:v>1</x:v>
      </x:c>
      <x:c r="D338" s="12" t="n">
        <x:v>0</x:v>
      </x:c>
      <x:c r="E338" s="13" t="n">
        <x:v>1</x:v>
      </x:c>
    </x:row>
    <x:row r="339">
      <x:c r="A339" s="2" t="str">
        <x:v>tejas para techos precios</x:v>
      </x:c>
      <x:c r="B339" s="11" t="n">
        <x:v>0</x:v>
      </x:c>
      <x:c r="C339" s="11" t="n">
        <x:v>1</x:v>
      </x:c>
      <x:c r="D339" s="12" t="n">
        <x:v>0</x:v>
      </x:c>
      <x:c r="E339" s="13" t="n">
        <x:v>1</x:v>
      </x:c>
    </x:row>
    <x:row r="340">
      <x:c r="A340" s="2" t="str">
        <x:v>tejas roja</x:v>
      </x:c>
      <x:c r="B340" s="11" t="n">
        <x:v>0</x:v>
      </x:c>
      <x:c r="C340" s="11" t="n">
        <x:v>1</x:v>
      </x:c>
      <x:c r="D340" s="12" t="n">
        <x:v>0</x:v>
      </x:c>
      <x:c r="E340" s="13" t="n">
        <x:v>1</x:v>
      </x:c>
    </x:row>
    <x:row r="341">
      <x:c r="A341" s="2" t="str">
        <x:v>tipos de tejas para techos</x:v>
      </x:c>
      <x:c r="B341" s="11" t="n">
        <x:v>0</x:v>
      </x:c>
      <x:c r="C341" s="11" t="n">
        <x:v>1</x:v>
      </x:c>
      <x:c r="D341" s="12" t="n">
        <x:v>0</x:v>
      </x:c>
      <x:c r="E341" s="13" t="n">
        <x:v>1</x:v>
      </x:c>
    </x:row>
    <x:row r="342">
      <x:c r="A342" s="2" t="str">
        <x:v>valor teja colonial</x:v>
      </x:c>
      <x:c r="B342" s="11" t="n">
        <x:v>0</x:v>
      </x:c>
      <x:c r="C342" s="11" t="n">
        <x:v>1</x:v>
      </x:c>
      <x:c r="D342" s="12" t="n">
        <x:v>0</x:v>
      </x:c>
      <x:c r="E342" s="13" t="n">
        <x:v>1</x:v>
      </x:c>
    </x:row>
    <x:row r="343">
      <x:c r="A343" s="2" t="str">
        <x:v>y ese que precio tiene</x:v>
      </x:c>
      <x:c r="B343" s="11" t="n">
        <x:v>0</x:v>
      </x:c>
      <x:c r="C343" s="11" t="n">
        <x:v>1</x:v>
      </x:c>
      <x:c r="D343" s="12" t="n">
        <x:v>0</x:v>
      </x:c>
      <x:c r="E343" s="13" t="n">
        <x:v>1</x:v>
      </x:c>
    </x:row>
    <x:row r="344">
      <x:c r="A344" s="2" t="str">
        <x:v>casa de barro en ingles</x:v>
      </x:c>
      <x:c r="B344" s="11" t="n">
        <x:v>0</x:v>
      </x:c>
      <x:c r="C344" s="11" t="n">
        <x:v>1</x:v>
      </x:c>
      <x:c r="D344" s="12" t="n">
        <x:v>0</x:v>
      </x:c>
      <x:c r="E344" s="13" t="n">
        <x:v>2</x:v>
      </x:c>
    </x:row>
    <x:row r="345">
      <x:c r="A345" s="2" t="str">
        <x:v>dame el nombre</x:v>
      </x:c>
      <x:c r="B345" s="11" t="n">
        <x:v>0</x:v>
      </x:c>
      <x:c r="C345" s="11" t="n">
        <x:v>1</x:v>
      </x:c>
      <x:c r="D345" s="12" t="n">
        <x:v>0</x:v>
      </x:c>
      <x:c r="E345" s="13" t="n">
        <x:v>2</x:v>
      </x:c>
    </x:row>
    <x:row r="346">
      <x:c r="A346" s="2" t="str">
        <x:v>en amaga antioquia</x:v>
      </x:c>
      <x:c r="B346" s="11" t="n">
        <x:v>0</x:v>
      </x:c>
      <x:c r="C346" s="11" t="n">
        <x:v>1</x:v>
      </x:c>
      <x:c r="D346" s="12" t="n">
        <x:v>0</x:v>
      </x:c>
      <x:c r="E346" s="13" t="n">
        <x:v>2</x:v>
      </x:c>
    </x:row>
    <x:row r="347">
      <x:c r="A347" s="2" t="str">
        <x:v>enchapes para fachadas</x:v>
      </x:c>
      <x:c r="B347" s="11" t="n">
        <x:v>0</x:v>
      </x:c>
      <x:c r="C347" s="11" t="n">
        <x:v>1</x:v>
      </x:c>
      <x:c r="D347" s="12" t="n">
        <x:v>0</x:v>
      </x:c>
      <x:c r="E347" s="13" t="n">
        <x:v>2</x:v>
      </x:c>
    </x:row>
    <x:row r="348">
      <x:c r="A348" s="2" t="str">
        <x:v>es para un piso</x:v>
      </x:c>
      <x:c r="B348" s="11" t="n">
        <x:v>0</x:v>
      </x:c>
      <x:c r="C348" s="11" t="n">
        <x:v>1</x:v>
      </x:c>
      <x:c r="D348" s="12" t="n">
        <x:v>0</x:v>
      </x:c>
      <x:c r="E348" s="13" t="n">
        <x:v>2</x:v>
      </x:c>
    </x:row>
    <x:row r="349">
      <x:c r="A349" s="2" t="str">
        <x:v>fotos</x:v>
      </x:c>
      <x:c r="B349" s="11" t="n">
        <x:v>0</x:v>
      </x:c>
      <x:c r="C349" s="11" t="n">
        <x:v>1</x:v>
      </x:c>
      <x:c r="D349" s="12" t="n">
        <x:v>0</x:v>
      </x:c>
      <x:c r="E349" s="13" t="n">
        <x:v>2</x:v>
      </x:c>
    </x:row>
    <x:row r="350">
      <x:c r="A350" s="2" t="str">
        <x:v>ladrillo ceramico</x:v>
      </x:c>
      <x:c r="B350" s="11" t="n">
        <x:v>0</x:v>
      </x:c>
      <x:c r="C350" s="11" t="n">
        <x:v>1</x:v>
      </x:c>
      <x:c r="D350" s="12" t="n">
        <x:v>0</x:v>
      </x:c>
      <x:c r="E350" s="13" t="n">
        <x:v>2</x:v>
      </x:c>
    </x:row>
    <x:row r="351">
      <x:c r="A351" s="2" t="str">
        <x:v>ladrillo macizo del 7</x:v>
      </x:c>
      <x:c r="B351" s="11" t="n">
        <x:v>0</x:v>
      </x:c>
      <x:c r="C351" s="11" t="n">
        <x:v>1</x:v>
      </x:c>
      <x:c r="D351" s="12" t="n">
        <x:v>0</x:v>
      </x:c>
      <x:c r="E351" s="13" t="n">
        <x:v>2</x:v>
      </x:c>
    </x:row>
    <x:row r="352">
      <x:c r="A352" s="2" t="str">
        <x:v>ladrillo pastelero</x:v>
      </x:c>
      <x:c r="B352" s="11" t="n">
        <x:v>0</x:v>
      </x:c>
      <x:c r="C352" s="11" t="n">
        <x:v>1</x:v>
      </x:c>
      <x:c r="D352" s="12" t="n">
        <x:v>0</x:v>
      </x:c>
      <x:c r="E352" s="13" t="n">
        <x:v>2</x:v>
      </x:c>
    </x:row>
    <x:row r="353">
      <x:c r="A353" s="2" t="str">
        <x:v>ladrillo tolete 24x12x6 precio</x:v>
      </x:c>
      <x:c r="B353" s="11" t="n">
        <x:v>0</x:v>
      </x:c>
      <x:c r="C353" s="11" t="n">
        <x:v>1</x:v>
      </x:c>
      <x:c r="D353" s="12" t="n">
        <x:v>0</x:v>
      </x:c>
      <x:c r="E353" s="13" t="n">
        <x:v>2</x:v>
      </x:c>
    </x:row>
    <x:row r="354">
      <x:c r="A354" s="2" t="str">
        <x:v>pisos de barro natural</x:v>
      </x:c>
      <x:c r="B354" s="11" t="n">
        <x:v>0</x:v>
      </x:c>
      <x:c r="C354" s="11" t="n">
        <x:v>1</x:v>
      </x:c>
      <x:c r="D354" s="12" t="n">
        <x:v>0</x:v>
      </x:c>
      <x:c r="E354" s="13" t="n">
        <x:v>2</x:v>
      </x:c>
    </x:row>
    <x:row r="355">
      <x:c r="A355" s="2" t="str">
        <x:v>precio de la teja</x:v>
      </x:c>
      <x:c r="B355" s="11" t="n">
        <x:v>0</x:v>
      </x:c>
      <x:c r="C355" s="11" t="n">
        <x:v>1</x:v>
      </x:c>
      <x:c r="D355" s="12" t="n">
        <x:v>0</x:v>
      </x:c>
      <x:c r="E355" s="13" t="n">
        <x:v>2</x:v>
      </x:c>
    </x:row>
    <x:row r="356">
      <x:c r="A356" s="2" t="str">
        <x:v>precio del bloquelon</x:v>
      </x:c>
      <x:c r="B356" s="11" t="n">
        <x:v>0</x:v>
      </x:c>
      <x:c r="C356" s="11" t="n">
        <x:v>1</x:v>
      </x:c>
      <x:c r="D356" s="12" t="n">
        <x:v>0</x:v>
      </x:c>
      <x:c r="E356" s="13" t="n">
        <x:v>2</x:v>
      </x:c>
    </x:row>
    <x:row r="357">
      <x:c r="A357" s="2" t="str">
        <x:v>precio ladrillo</x:v>
      </x:c>
      <x:c r="B357" s="11" t="n">
        <x:v>0</x:v>
      </x:c>
      <x:c r="C357" s="11" t="n">
        <x:v>1</x:v>
      </x:c>
      <x:c r="D357" s="12" t="n">
        <x:v>0</x:v>
      </x:c>
      <x:c r="E357" s="13" t="n">
        <x:v>2</x:v>
      </x:c>
    </x:row>
    <x:row r="358">
      <x:c r="A358" s="2" t="str">
        <x:v>precio teja colonial</x:v>
      </x:c>
      <x:c r="B358" s="11" t="n">
        <x:v>0</x:v>
      </x:c>
      <x:c r="C358" s="11" t="n">
        <x:v>1</x:v>
      </x:c>
      <x:c r="D358" s="12" t="n">
        <x:v>0</x:v>
      </x:c>
      <x:c r="E358" s="13" t="n">
        <x:v>2</x:v>
      </x:c>
    </x:row>
    <x:row r="359">
      <x:c r="A359" s="2" t="str">
        <x:v>que color es?</x:v>
      </x:c>
      <x:c r="B359" s="11" t="n">
        <x:v>0</x:v>
      </x:c>
      <x:c r="C359" s="11" t="n">
        <x:v>1</x:v>
      </x:c>
      <x:c r="D359" s="12" t="n">
        <x:v>0</x:v>
      </x:c>
      <x:c r="E359" s="13" t="n">
        <x:v>2</x:v>
      </x:c>
    </x:row>
    <x:row r="360">
      <x:c r="A360" s="2" t="str">
        <x:v>que es</x:v>
      </x:c>
      <x:c r="B360" s="11" t="n">
        <x:v>0</x:v>
      </x:c>
      <x:c r="C360" s="11" t="n">
        <x:v>1</x:v>
      </x:c>
      <x:c r="D360" s="12" t="n">
        <x:v>0</x:v>
      </x:c>
      <x:c r="E360" s="13" t="n">
        <x:v>2</x:v>
      </x:c>
    </x:row>
    <x:row r="361">
      <x:c r="A361" s="2" t="str">
        <x:v>teja colonial upvc precio</x:v>
      </x:c>
      <x:c r="B361" s="11" t="n">
        <x:v>0</x:v>
      </x:c>
      <x:c r="C361" s="11" t="n">
        <x:v>1</x:v>
      </x:c>
      <x:c r="D361" s="12" t="n">
        <x:v>0</x:v>
      </x:c>
      <x:c r="E361" s="13" t="n">
        <x:v>2</x:v>
      </x:c>
    </x:row>
    <x:row r="362">
      <x:c r="A362" s="2" t="str">
        <x:v>teja española de barro precio</x:v>
      </x:c>
      <x:c r="B362" s="11" t="n">
        <x:v>0</x:v>
      </x:c>
      <x:c r="C362" s="11" t="n">
        <x:v>1</x:v>
      </x:c>
      <x:c r="D362" s="12" t="n">
        <x:v>0</x:v>
      </x:c>
      <x:c r="E362" s="13" t="n">
        <x:v>2</x:v>
      </x:c>
    </x:row>
    <x:row r="363">
      <x:c r="A363" s="2" t="str">
        <x:v>tejas de arcilla para techos</x:v>
      </x:c>
      <x:c r="B363" s="11" t="n">
        <x:v>0</x:v>
      </x:c>
      <x:c r="C363" s="11" t="n">
        <x:v>1</x:v>
      </x:c>
      <x:c r="D363" s="12" t="n">
        <x:v>0</x:v>
      </x:c>
      <x:c r="E363" s="13" t="n">
        <x:v>2</x:v>
      </x:c>
    </x:row>
    <x:row r="364">
      <x:c r="A364" s="2" t="str">
        <x:v>tipo de fachada</x:v>
      </x:c>
      <x:c r="B364" s="11" t="n">
        <x:v>0</x:v>
      </x:c>
      <x:c r="C364" s="11" t="n">
        <x:v>1</x:v>
      </x:c>
      <x:c r="D364" s="12" t="n">
        <x:v>0</x:v>
      </x:c>
      <x:c r="E364" s="13" t="n">
        <x:v>2</x:v>
      </x:c>
    </x:row>
    <x:row r="365">
      <x:c r="A365" s="2" t="str">
        <x:v>tipos de tejas de barro</x:v>
      </x:c>
      <x:c r="B365" s="11" t="n">
        <x:v>0</x:v>
      </x:c>
      <x:c r="C365" s="11" t="n">
        <x:v>1</x:v>
      </x:c>
      <x:c r="D365" s="12" t="n">
        <x:v>0</x:v>
      </x:c>
      <x:c r="E365" s="13" t="n">
        <x:v>2</x:v>
      </x:c>
    </x:row>
    <x:row r="366">
      <x:c r="A366" s="2" t="str">
        <x:v>valor por metro</x:v>
      </x:c>
      <x:c r="B366" s="11" t="n">
        <x:v>0</x:v>
      </x:c>
      <x:c r="C366" s="11" t="n">
        <x:v>1</x:v>
      </x:c>
      <x:c r="D366" s="12" t="n">
        <x:v>0</x:v>
      </x:c>
      <x:c r="E366" s="13" t="n">
        <x:v>2</x:v>
      </x:c>
    </x:row>
    <x:row r="367">
      <x:c r="A367" s="2" t="str">
        <x:v>¿me puedes mandar imágenes, por favor?</x:v>
      </x:c>
      <x:c r="B367" s="11" t="n">
        <x:v>0</x:v>
      </x:c>
      <x:c r="C367" s="11" t="n">
        <x:v>1</x:v>
      </x:c>
      <x:c r="D367" s="12" t="n">
        <x:v>0</x:v>
      </x:c>
      <x:c r="E367" s="13" t="n">
        <x:v>2</x:v>
      </x:c>
    </x:row>
    <x:row r="368">
      <x:c r="A368" s="2" t="str">
        <x:v>alfaberia</x:v>
      </x:c>
      <x:c r="B368" s="11" t="n">
        <x:v>0</x:v>
      </x:c>
      <x:c r="C368" s="11" t="n">
        <x:v>1</x:v>
      </x:c>
      <x:c r="D368" s="12" t="n">
        <x:v>0</x:v>
      </x:c>
      <x:c r="E368" s="13" t="n">
        <x:v>3</x:v>
      </x:c>
    </x:row>
    <x:row r="369">
      <x:c r="A369" s="2" t="str">
        <x:v>barro</x:v>
      </x:c>
      <x:c r="B369" s="11" t="n">
        <x:v>0</x:v>
      </x:c>
      <x:c r="C369" s="11" t="n">
        <x:v>1</x:v>
      </x:c>
      <x:c r="D369" s="12" t="n">
        <x:v>0</x:v>
      </x:c>
      <x:c r="E369" s="13" t="n">
        <x:v>3</x:v>
      </x:c>
    </x:row>
    <x:row r="370">
      <x:c r="A370" s="2" t="str">
        <x:v>clay colombia</x:v>
      </x:c>
      <x:c r="B370" s="11" t="n">
        <x:v>0</x:v>
      </x:c>
      <x:c r="C370" s="11" t="n">
        <x:v>1</x:v>
      </x:c>
      <x:c r="D370" s="12" t="n">
        <x:v>0</x:v>
      </x:c>
      <x:c r="E370" s="13" t="n">
        <x:v>3</x:v>
      </x:c>
    </x:row>
    <x:row r="371">
      <x:c r="A371" s="2" t="str">
        <x:v>clayhaus</x:v>
      </x:c>
      <x:c r="B371" s="11" t="n">
        <x:v>0</x:v>
      </x:c>
      <x:c r="C371" s="11" t="n">
        <x:v>1</x:v>
      </x:c>
      <x:c r="D371" s="12" t="n">
        <x:v>0</x:v>
      </x:c>
      <x:c r="E371" s="13" t="n">
        <x:v>3</x:v>
      </x:c>
    </x:row>
    <x:row r="372">
      <x:c r="A372" s="2" t="str">
        <x:v>imitacion teja de barro</x:v>
      </x:c>
      <x:c r="B372" s="11" t="n">
        <x:v>0</x:v>
      </x:c>
      <x:c r="C372" s="11" t="n">
        <x:v>1</x:v>
      </x:c>
      <x:c r="D372" s="12" t="n">
        <x:v>0</x:v>
      </x:c>
      <x:c r="E372" s="13" t="n">
        <x:v>3</x:v>
      </x:c>
    </x:row>
    <x:row r="373">
      <x:c r="A373" s="2" t="str">
        <x:v>ladrillo decorativo exterior</x:v>
      </x:c>
      <x:c r="B373" s="11" t="n">
        <x:v>0</x:v>
      </x:c>
      <x:c r="C373" s="11" t="n">
        <x:v>1</x:v>
      </x:c>
      <x:c r="D373" s="12" t="n">
        <x:v>0</x:v>
      </x:c>
      <x:c r="E373" s="13" t="n">
        <x:v>3</x:v>
      </x:c>
    </x:row>
    <x:row r="374">
      <x:c r="A374" s="2" t="str">
        <x:v>ladrillos rusticos</x:v>
      </x:c>
      <x:c r="B374" s="11" t="n">
        <x:v>0</x:v>
      </x:c>
      <x:c r="C374" s="11" t="n">
        <x:v>1</x:v>
      </x:c>
      <x:c r="D374" s="12" t="n">
        <x:v>0</x:v>
      </x:c>
      <x:c r="E374" s="13" t="n">
        <x:v>3</x:v>
      </x:c>
    </x:row>
    <x:row r="375">
      <x:c r="A375" s="2" t="str">
        <x:v>precio de teja de barro</x:v>
      </x:c>
      <x:c r="B375" s="11" t="n">
        <x:v>0</x:v>
      </x:c>
      <x:c r="C375" s="11" t="n">
        <x:v>1</x:v>
      </x:c>
      <x:c r="D375" s="12" t="n">
        <x:v>0</x:v>
      </x:c>
      <x:c r="E375" s="13" t="n">
        <x:v>3</x:v>
      </x:c>
    </x:row>
    <x:row r="376">
      <x:c r="A376" s="2" t="str">
        <x:v>precio de unidad</x:v>
      </x:c>
      <x:c r="B376" s="11" t="n">
        <x:v>0</x:v>
      </x:c>
      <x:c r="C376" s="11" t="n">
        <x:v>1</x:v>
      </x:c>
      <x:c r="D376" s="12" t="n">
        <x:v>0</x:v>
      </x:c>
      <x:c r="E376" s="13" t="n">
        <x:v>3</x:v>
      </x:c>
    </x:row>
    <x:row r="377">
      <x:c r="A377" s="2" t="str">
        <x:v>precios de cada una</x:v>
      </x:c>
      <x:c r="B377" s="11" t="n">
        <x:v>0</x:v>
      </x:c>
      <x:c r="C377" s="11" t="n">
        <x:v>1</x:v>
      </x:c>
      <x:c r="D377" s="12" t="n">
        <x:v>0</x:v>
      </x:c>
      <x:c r="E377" s="13" t="n">
        <x:v>3</x:v>
      </x:c>
    </x:row>
    <x:row r="378">
      <x:c r="A378" s="2" t="str">
        <x:v>quiero ver más fotos.</x:v>
      </x:c>
      <x:c r="B378" s="11" t="n">
        <x:v>0</x:v>
      </x:c>
      <x:c r="C378" s="11" t="n">
        <x:v>1</x:v>
      </x:c>
      <x:c r="D378" s="12" t="n">
        <x:v>0</x:v>
      </x:c>
      <x:c r="E378" s="13" t="n">
        <x:v>3</x:v>
      </x:c>
    </x:row>
    <x:row r="379">
      <x:c r="A379" s="2" t="str">
        <x:v>teja en barro</x:v>
      </x:c>
      <x:c r="B379" s="11" t="n">
        <x:v>0</x:v>
      </x:c>
      <x:c r="C379" s="11" t="n">
        <x:v>1</x:v>
      </x:c>
      <x:c r="D379" s="12" t="n">
        <x:v>0</x:v>
      </x:c>
      <x:c r="E379" s="13" t="n">
        <x:v>3</x:v>
      </x:c>
    </x:row>
    <x:row r="380">
      <x:c r="A380" s="2" t="str">
        <x:v>teja roja de barro precio</x:v>
      </x:c>
      <x:c r="B380" s="11" t="n">
        <x:v>0</x:v>
      </x:c>
      <x:c r="C380" s="11" t="n">
        <x:v>1</x:v>
      </x:c>
      <x:c r="D380" s="12" t="n">
        <x:v>0</x:v>
      </x:c>
      <x:c r="E380" s="13" t="n">
        <x:v>3</x:v>
      </x:c>
    </x:row>
    <x:row r="381">
      <x:c r="A381" s="2" t="str">
        <x:v>bogota</x:v>
      </x:c>
      <x:c r="B381" s="11" t="n">
        <x:v>0</x:v>
      </x:c>
      <x:c r="C381" s="11" t="n">
        <x:v>1</x:v>
      </x:c>
      <x:c r="D381" s="12" t="n">
        <x:v>0</x:v>
      </x:c>
      <x:c r="E381" s="13" t="n">
        <x:v>4</x:v>
      </x:c>
    </x:row>
    <x:row r="382">
      <x:c r="A382" s="2" t="str">
        <x:v>cubierta teja plana</x:v>
      </x:c>
      <x:c r="B382" s="11" t="n">
        <x:v>0</x:v>
      </x:c>
      <x:c r="C382" s="11" t="n">
        <x:v>1</x:v>
      </x:c>
      <x:c r="D382" s="12" t="n">
        <x:v>0</x:v>
      </x:c>
      <x:c r="E382" s="13" t="n">
        <x:v>4</x:v>
      </x:c>
    </x:row>
    <x:row r="383">
      <x:c r="A383" s="2" t="str">
        <x:v>cuánto mide</x:v>
      </x:c>
      <x:c r="B383" s="11" t="n">
        <x:v>0</x:v>
      </x:c>
      <x:c r="C383" s="11" t="n">
        <x:v>1</x:v>
      </x:c>
      <x:c r="D383" s="12" t="n">
        <x:v>0</x:v>
      </x:c>
      <x:c r="E383" s="13" t="n">
        <x:v>4</x:v>
      </x:c>
    </x:row>
    <x:row r="384">
      <x:c r="A384" s="2" t="str">
        <x:v>enchape brick</x:v>
      </x:c>
      <x:c r="B384" s="11" t="n">
        <x:v>0</x:v>
      </x:c>
      <x:c r="C384" s="11" t="n">
        <x:v>1</x:v>
      </x:c>
      <x:c r="D384" s="12" t="n">
        <x:v>0</x:v>
      </x:c>
      <x:c r="E384" s="13" t="n">
        <x:v>4</x:v>
      </x:c>
    </x:row>
    <x:row r="385">
      <x:c r="A385" s="2" t="str">
        <x:v>exterior</x:v>
      </x:c>
      <x:c r="B385" s="11" t="n">
        <x:v>0</x:v>
      </x:c>
      <x:c r="C385" s="11" t="n">
        <x:v>1</x:v>
      </x:c>
      <x:c r="D385" s="12" t="n">
        <x:v>0</x:v>
      </x:c>
      <x:c r="E385" s="13" t="n">
        <x:v>4</x:v>
      </x:c>
    </x:row>
    <x:row r="386">
      <x:c r="A386" s="2" t="str">
        <x:v>ladrillo caravista</x:v>
      </x:c>
      <x:c r="B386" s="11" t="n">
        <x:v>0</x:v>
      </x:c>
      <x:c r="C386" s="11" t="n">
        <x:v>1</x:v>
      </x:c>
      <x:c r="D386" s="12" t="n">
        <x:v>0</x:v>
      </x:c>
      <x:c r="E386" s="13" t="n">
        <x:v>4</x:v>
      </x:c>
    </x:row>
    <x:row r="387">
      <x:c r="A387" s="2" t="str">
        <x:v>ladrillo rojo rustico</x:v>
      </x:c>
      <x:c r="B387" s="11" t="n">
        <x:v>0</x:v>
      </x:c>
      <x:c r="C387" s="11" t="n">
        <x:v>1</x:v>
      </x:c>
      <x:c r="D387" s="12" t="n">
        <x:v>0</x:v>
      </x:c>
      <x:c r="E387" s="13" t="n">
        <x:v>4</x:v>
      </x:c>
    </x:row>
    <x:row r="388">
      <x:c r="A388" s="2" t="str">
        <x:v>ntc 4205-2</x:v>
      </x:c>
      <x:c r="B388" s="11" t="n">
        <x:v>0</x:v>
      </x:c>
      <x:c r="C388" s="11" t="n">
        <x:v>1</x:v>
      </x:c>
      <x:c r="D388" s="12" t="n">
        <x:v>0</x:v>
      </x:c>
      <x:c r="E388" s="13" t="n">
        <x:v>4</x:v>
      </x:c>
    </x:row>
    <x:row r="389">
      <x:c r="A389" s="2" t="str">
        <x:v>precio de teja plana</x:v>
      </x:c>
      <x:c r="B389" s="11" t="n">
        <x:v>0</x:v>
      </x:c>
      <x:c r="C389" s="11" t="n">
        <x:v>1</x:v>
      </x:c>
      <x:c r="D389" s="12" t="n">
        <x:v>0</x:v>
      </x:c>
      <x:c r="E389" s="13" t="n">
        <x:v>4</x:v>
      </x:c>
    </x:row>
    <x:row r="390">
      <x:c r="A390" s="2" t="str">
        <x:v>teja tubo de barro</x:v>
      </x:c>
      <x:c r="B390" s="11" t="n">
        <x:v>0</x:v>
      </x:c>
      <x:c r="C390" s="11" t="n">
        <x:v>1</x:v>
      </x:c>
      <x:c r="D390" s="12" t="n">
        <x:v>0</x:v>
      </x:c>
      <x:c r="E390" s="13" t="n">
        <x:v>4</x:v>
      </x:c>
    </x:row>
    <x:row r="391">
      <x:c r="A391" s="2" t="str">
        <x:v>tipos de ladrillos en colombia</x:v>
      </x:c>
      <x:c r="B391" s="11" t="n">
        <x:v>0</x:v>
      </x:c>
      <x:c r="C391" s="11" t="n">
        <x:v>1</x:v>
      </x:c>
      <x:c r="D391" s="12" t="n">
        <x:v>0</x:v>
      </x:c>
      <x:c r="E391" s="13" t="n">
        <x:v>4</x:v>
      </x:c>
    </x:row>
    <x:row r="392">
      <x:c r="A392" s="2" t="str">
        <x:v>adobe a la vista</x:v>
      </x:c>
      <x:c r="B392" s="11" t="n">
        <x:v>0</x:v>
      </x:c>
      <x:c r="C392" s="11" t="n">
        <x:v>1</x:v>
      </x:c>
      <x:c r="D392" s="12" t="n">
        <x:v>0</x:v>
      </x:c>
      <x:c r="E392" s="13" t="n">
        <x:v>5</x:v>
      </x:c>
    </x:row>
    <x:row r="393">
      <x:c r="A393" s="2" t="str">
        <x:v>donde consigo</x:v>
      </x:c>
      <x:c r="B393" s="11" t="n">
        <x:v>0</x:v>
      </x:c>
      <x:c r="C393" s="11" t="n">
        <x:v>1</x:v>
      </x:c>
      <x:c r="D393" s="12" t="n">
        <x:v>0</x:v>
      </x:c>
      <x:c r="E393" s="13" t="n">
        <x:v>5</x:v>
      </x:c>
    </x:row>
    <x:row r="394">
      <x:c r="A394" s="2" t="str">
        <x:v>en bogot</x:v>
      </x:c>
      <x:c r="B394" s="11" t="n">
        <x:v>0</x:v>
      </x:c>
      <x:c r="C394" s="11" t="n">
        <x:v>1</x:v>
      </x:c>
      <x:c r="D394" s="12" t="n">
        <x:v>0</x:v>
      </x:c>
      <x:c r="E394" s="13" t="n">
        <x:v>5</x:v>
      </x:c>
    </x:row>
    <x:row r="395">
      <x:c r="A395" s="2" t="str">
        <x:v>ladrillera cerca de mi ubicación</x:v>
      </x:c>
      <x:c r="B395" s="11" t="n">
        <x:v>0</x:v>
      </x:c>
      <x:c r="C395" s="11" t="n">
        <x:v>1</x:v>
      </x:c>
      <x:c r="D395" s="12" t="n">
        <x:v>0</x:v>
      </x:c>
      <x:c r="E395" s="13" t="n">
        <x:v>5</x:v>
      </x:c>
    </x:row>
    <x:row r="396">
      <x:c r="A396" s="2" t="str">
        <x:v>ladrillo de barro precio</x:v>
      </x:c>
      <x:c r="B396" s="11" t="n">
        <x:v>0</x:v>
      </x:c>
      <x:c r="C396" s="11" t="n">
        <x:v>1</x:v>
      </x:c>
      <x:c r="D396" s="12" t="n">
        <x:v>0</x:v>
      </x:c>
      <x:c r="E396" s="13" t="n">
        <x:v>5</x:v>
      </x:c>
    </x:row>
    <x:row r="397">
      <x:c r="A397" s="2" t="str">
        <x:v>piso 30x30</x:v>
      </x:c>
      <x:c r="B397" s="11" t="n">
        <x:v>0</x:v>
      </x:c>
      <x:c r="C397" s="11" t="n">
        <x:v>1</x:v>
      </x:c>
      <x:c r="D397" s="12" t="n">
        <x:v>0</x:v>
      </x:c>
      <x:c r="E397" s="13" t="n">
        <x:v>5</x:v>
      </x:c>
    </x:row>
    <x:row r="398">
      <x:c r="A398" s="2" t="str">
        <x:v>quiero ver similares</x:v>
      </x:c>
      <x:c r="B398" s="11" t="n">
        <x:v>0</x:v>
      </x:c>
      <x:c r="C398" s="11" t="n">
        <x:v>1</x:v>
      </x:c>
      <x:c r="D398" s="12" t="n">
        <x:v>0</x:v>
      </x:c>
      <x:c r="E398" s="13" t="n">
        <x:v>5</x:v>
      </x:c>
    </x:row>
    <x:row r="399">
      <x:c r="A399" s="2" t="str">
        <x:v>the clay house</x:v>
      </x:c>
      <x:c r="B399" s="11" t="n">
        <x:v>0</x:v>
      </x:c>
      <x:c r="C399" s="11" t="n">
        <x:v>1</x:v>
      </x:c>
      <x:c r="D399" s="12" t="n">
        <x:v>0</x:v>
      </x:c>
      <x:c r="E399" s="13" t="n">
        <x:v>5</x:v>
      </x:c>
    </x:row>
    <x:row r="400">
      <x:c r="A400" s="2" t="str">
        <x:v>clahy</x:v>
      </x:c>
      <x:c r="B400" s="11" t="n">
        <x:v>0</x:v>
      </x:c>
      <x:c r="C400" s="11" t="n">
        <x:v>1</x:v>
      </x:c>
      <x:c r="D400" s="12" t="n">
        <x:v>0</x:v>
      </x:c>
      <x:c r="E400" s="13" t="n">
        <x:v>6</x:v>
      </x:c>
    </x:row>
    <x:row r="401">
      <x:c r="A401" s="2" t="str">
        <x:v>costo de un ladrillo</x:v>
      </x:c>
      <x:c r="B401" s="11" t="n">
        <x:v>0</x:v>
      </x:c>
      <x:c r="C401" s="11" t="n">
        <x:v>1</x:v>
      </x:c>
      <x:c r="D401" s="12" t="n">
        <x:v>0</x:v>
      </x:c>
      <x:c r="E401" s="13" t="n">
        <x:v>6</x:v>
      </x:c>
    </x:row>
    <x:row r="402">
      <x:c r="A402" s="2" t="str">
        <x:v>ladrillo a la vista santa fe</x:v>
      </x:c>
      <x:c r="B402" s="11" t="n">
        <x:v>0</x:v>
      </x:c>
      <x:c r="C402" s="11" t="n">
        <x:v>1</x:v>
      </x:c>
      <x:c r="D402" s="12" t="n">
        <x:v>0</x:v>
      </x:c>
      <x:c r="E402" s="13" t="n">
        <x:v>6</x:v>
      </x:c>
    </x:row>
    <x:row r="403">
      <x:c r="A403" s="2" t="str">
        <x:v>ladrillos toscos</x:v>
      </x:c>
      <x:c r="B403" s="11" t="n">
        <x:v>0</x:v>
      </x:c>
      <x:c r="C403" s="11" t="n">
        <x:v>1</x:v>
      </x:c>
      <x:c r="D403" s="12" t="n">
        <x:v>0</x:v>
      </x:c>
      <x:c r="E403" s="13" t="n">
        <x:v>6</x:v>
      </x:c>
    </x:row>
    <x:row r="404">
      <x:c r="A404" s="2" t="str">
        <x:v>teja inglesa precio</x:v>
      </x:c>
      <x:c r="B404" s="11" t="n">
        <x:v>0</x:v>
      </x:c>
      <x:c r="C404" s="11" t="n">
        <x:v>1</x:v>
      </x:c>
      <x:c r="D404" s="12" t="n">
        <x:v>0</x:v>
      </x:c>
      <x:c r="E404" s="13" t="n">
        <x:v>6</x:v>
      </x:c>
    </x:row>
    <x:row r="405">
      <x:c r="A405" s="2" t="str">
        <x:v>textura ladrillo vertical</x:v>
      </x:c>
      <x:c r="B405" s="11" t="n">
        <x:v>0</x:v>
      </x:c>
      <x:c r="C405" s="11" t="n">
        <x:v>1</x:v>
      </x:c>
      <x:c r="D405" s="12" t="n">
        <x:v>0</x:v>
      </x:c>
      <x:c r="E405" s="13" t="n">
        <x:v>6</x:v>
      </x:c>
    </x:row>
    <x:row r="406">
      <x:c r="A406" s="2" t="str">
        <x:v>baldosa de barro 30x30</x:v>
      </x:c>
      <x:c r="B406" s="11" t="n">
        <x:v>0</x:v>
      </x:c>
      <x:c r="C406" s="11" t="n">
        <x:v>1</x:v>
      </x:c>
      <x:c r="D406" s="12" t="n">
        <x:v>0</x:v>
      </x:c>
      <x:c r="E406" s="13" t="n">
        <x:v>7</x:v>
      </x:c>
    </x:row>
    <x:row r="407">
      <x:c r="A407" s="2" t="str">
        <x:v>baldosa de barro precio</x:v>
      </x:c>
      <x:c r="B407" s="11" t="n">
        <x:v>0</x:v>
      </x:c>
      <x:c r="C407" s="11" t="n">
        <x:v>1</x:v>
      </x:c>
      <x:c r="D407" s="12" t="n">
        <x:v>0</x:v>
      </x:c>
      <x:c r="E407" s="13" t="n">
        <x:v>7</x:v>
      </x:c>
    </x:row>
    <x:row r="408">
      <x:c r="A408" s="2" t="str">
        <x:v>celosia calada</x:v>
      </x:c>
      <x:c r="B408" s="11" t="n">
        <x:v>0</x:v>
      </x:c>
      <x:c r="C408" s="11" t="n">
        <x:v>1</x:v>
      </x:c>
      <x:c r="D408" s="12" t="n">
        <x:v>0</x:v>
      </x:c>
      <x:c r="E408" s="13" t="n">
        <x:v>7</x:v>
      </x:c>
    </x:row>
    <x:row r="409">
      <x:c r="A409" s="2" t="str">
        <x:v>celosias de arcilla</x:v>
      </x:c>
      <x:c r="B409" s="11" t="n">
        <x:v>0</x:v>
      </x:c>
      <x:c r="C409" s="11" t="n">
        <x:v>1</x:v>
      </x:c>
      <x:c r="D409" s="12" t="n">
        <x:v>0</x:v>
      </x:c>
      <x:c r="E409" s="13" t="n">
        <x:v>7</x:v>
      </x:c>
    </x:row>
    <x:row r="410">
      <x:c r="A410" s="2" t="str">
        <x:v>emchape</x:v>
      </x:c>
      <x:c r="B410" s="11" t="n">
        <x:v>0</x:v>
      </x:c>
      <x:c r="C410" s="11" t="n">
        <x:v>1</x:v>
      </x:c>
      <x:c r="D410" s="12" t="n">
        <x:v>0</x:v>
      </x:c>
      <x:c r="E410" s="13" t="n">
        <x:v>7</x:v>
      </x:c>
    </x:row>
    <x:row r="411">
      <x:c r="A411" s="2" t="str">
        <x:v>enchape junta perdida</x:v>
      </x:c>
      <x:c r="B411" s="11" t="n">
        <x:v>0</x:v>
      </x:c>
      <x:c r="C411" s="11" t="n">
        <x:v>1</x:v>
      </x:c>
      <x:c r="D411" s="12" t="n">
        <x:v>0</x:v>
      </x:c>
      <x:c r="E411" s="13" t="n">
        <x:v>7</x:v>
      </x:c>
    </x:row>
    <x:row r="412">
      <x:c r="A412" s="2" t="str">
        <x:v>ladrillos fachada exterior</x:v>
      </x:c>
      <x:c r="B412" s="11" t="n">
        <x:v>0</x:v>
      </x:c>
      <x:c r="C412" s="11" t="n">
        <x:v>1</x:v>
      </x:c>
      <x:c r="D412" s="12" t="n">
        <x:v>0</x:v>
      </x:c>
      <x:c r="E412" s="13" t="n">
        <x:v>7</x:v>
      </x:c>
    </x:row>
    <x:row r="413">
      <x:c r="A413" s="2" t="str">
        <x:v>medellín</x:v>
      </x:c>
      <x:c r="B413" s="11" t="n">
        <x:v>0</x:v>
      </x:c>
      <x:c r="C413" s="11" t="n">
        <x:v>1</x:v>
      </x:c>
      <x:c r="D413" s="12" t="n">
        <x:v>0</x:v>
      </x:c>
      <x:c r="E413" s="13" t="n">
        <x:v>7</x:v>
      </x:c>
    </x:row>
    <x:row r="414">
      <x:c r="A414" s="2" t="str">
        <x:v>medidas de teja</x:v>
      </x:c>
      <x:c r="B414" s="11" t="n">
        <x:v>0</x:v>
      </x:c>
      <x:c r="C414" s="11" t="n">
        <x:v>1</x:v>
      </x:c>
      <x:c r="D414" s="12" t="n">
        <x:v>0</x:v>
      </x:c>
      <x:c r="E414" s="13" t="n">
        <x:v>7</x:v>
      </x:c>
    </x:row>
    <x:row r="415">
      <x:c r="A415" s="2" t="str">
        <x:v>piso de barro area externa</x:v>
      </x:c>
      <x:c r="B415" s="11" t="n">
        <x:v>0</x:v>
      </x:c>
      <x:c r="C415" s="11" t="n">
        <x:v>1</x:v>
      </x:c>
      <x:c r="D415" s="12" t="n">
        <x:v>0</x:v>
      </x:c>
      <x:c r="E415" s="13" t="n">
        <x:v>7</x:v>
      </x:c>
    </x:row>
    <x:row r="416">
      <x:c r="A416" s="2" t="str">
        <x:v>tamaño de una teja de barro</x:v>
      </x:c>
      <x:c r="B416" s="11" t="n">
        <x:v>0</x:v>
      </x:c>
      <x:c r="C416" s="11" t="n">
        <x:v>1</x:v>
      </x:c>
      <x:c r="D416" s="12" t="n">
        <x:v>0</x:v>
      </x:c>
      <x:c r="E416" s="13" t="n">
        <x:v>7</x:v>
      </x:c>
    </x:row>
    <x:row r="417">
      <x:c r="A417" s="2" t="str">
        <x:v>teja colombiana</x:v>
      </x:c>
      <x:c r="B417" s="11" t="n">
        <x:v>0</x:v>
      </x:c>
      <x:c r="C417" s="11" t="n">
        <x:v>1</x:v>
      </x:c>
      <x:c r="D417" s="12" t="n">
        <x:v>0</x:v>
      </x:c>
      <x:c r="E417" s="13" t="n">
        <x:v>7</x:v>
      </x:c>
    </x:row>
    <x:row r="418">
      <x:c r="A418" s="2" t="str">
        <x:v>tejas normales</x:v>
      </x:c>
      <x:c r="B418" s="11" t="n">
        <x:v>0</x:v>
      </x:c>
      <x:c r="C418" s="11" t="n">
        <x:v>1</x:v>
      </x:c>
      <x:c r="D418" s="12" t="n">
        <x:v>0</x:v>
      </x:c>
      <x:c r="E418" s="13" t="n">
        <x:v>7</x:v>
      </x:c>
    </x:row>
    <x:row r="419">
      <x:c r="A419" s="2" t="str">
        <x:v>vendedor de ladrillos</x:v>
      </x:c>
      <x:c r="B419" s="11" t="n">
        <x:v>0</x:v>
      </x:c>
      <x:c r="C419" s="11" t="n">
        <x:v>1</x:v>
      </x:c>
      <x:c r="D419" s="12" t="n">
        <x:v>0</x:v>
      </x:c>
      <x:c r="E419" s="13" t="n">
        <x:v>7</x:v>
      </x:c>
    </x:row>
    <x:row r="420">
      <x:c r="A420" s="2" t="str">
        <x:v>aparejo palomero ladrillo</x:v>
      </x:c>
      <x:c r="B420" s="11" t="n">
        <x:v>0</x:v>
      </x:c>
      <x:c r="C420" s="11" t="n">
        <x:v>1</x:v>
      </x:c>
      <x:c r="D420" s="12" t="n">
        <x:v>0</x:v>
      </x:c>
      <x:c r="E420" s="13" t="n">
        <x:v>8</x:v>
      </x:c>
    </x:row>
    <x:row r="421">
      <x:c r="A421" s="2" t="str">
        <x:v>bloque de arcilla</x:v>
      </x:c>
      <x:c r="B421" s="11" t="n">
        <x:v>0</x:v>
      </x:c>
      <x:c r="C421" s="11" t="n">
        <x:v>1</x:v>
      </x:c>
      <x:c r="D421" s="12" t="n">
        <x:v>0</x:v>
      </x:c>
      <x:c r="E421" s="13" t="n">
        <x:v>8</x:v>
      </x:c>
    </x:row>
    <x:row r="422">
      <x:c r="A422" s="2" t="str">
        <x:v>clay bar</x:v>
      </x:c>
      <x:c r="B422" s="11" t="n">
        <x:v>0</x:v>
      </x:c>
      <x:c r="C422" s="11" t="n">
        <x:v>1</x:v>
      </x:c>
      <x:c r="D422" s="12" t="n">
        <x:v>0</x:v>
      </x:c>
      <x:c r="E422" s="13" t="n">
        <x:v>8</x:v>
      </x:c>
    </x:row>
    <x:row r="423">
      <x:c r="A423" s="2" t="str">
        <x:v>clay brick</x:v>
      </x:c>
      <x:c r="B423" s="11" t="n">
        <x:v>0</x:v>
      </x:c>
      <x:c r="C423" s="11" t="n">
        <x:v>1</x:v>
      </x:c>
      <x:c r="D423" s="12" t="n">
        <x:v>0</x:v>
      </x:c>
      <x:c r="E423" s="13" t="n">
        <x:v>8</x:v>
      </x:c>
    </x:row>
    <x:row r="424">
      <x:c r="A424" s="2" t="str">
        <x:v>dimensiones teja de barro</x:v>
      </x:c>
      <x:c r="B424" s="11" t="n">
        <x:v>0</x:v>
      </x:c>
      <x:c r="C424" s="11" t="n">
        <x:v>1</x:v>
      </x:c>
      <x:c r="D424" s="12" t="n">
        <x:v>0</x:v>
      </x:c>
      <x:c r="E424" s="13" t="n">
        <x:v>8</x:v>
      </x:c>
    </x:row>
    <x:row r="425">
      <x:c r="A425" s="2" t="str">
        <x:v>enchapes paredes interiores</x:v>
      </x:c>
      <x:c r="B425" s="11" t="n">
        <x:v>0</x:v>
      </x:c>
      <x:c r="C425" s="11" t="n">
        <x:v>1</x:v>
      </x:c>
      <x:c r="D425" s="12" t="n">
        <x:v>0</x:v>
      </x:c>
      <x:c r="E425" s="13" t="n">
        <x:v>8</x:v>
      </x:c>
    </x:row>
    <x:row r="426">
      <x:c r="A426" s="2" t="str">
        <x:v>ladrillo cuadrilongo</x:v>
      </x:c>
      <x:c r="B426" s="11" t="n">
        <x:v>0</x:v>
      </x:c>
      <x:c r="C426" s="11" t="n">
        <x:v>1</x:v>
      </x:c>
      <x:c r="D426" s="12" t="n">
        <x:v>0</x:v>
      </x:c>
      <x:c r="E426" s="13" t="n">
        <x:v>8</x:v>
      </x:c>
    </x:row>
    <x:row r="427">
      <x:c r="A427" s="2" t="str">
        <x:v>ladrillo visto fachada</x:v>
      </x:c>
      <x:c r="B427" s="11" t="n">
        <x:v>0</x:v>
      </x:c>
      <x:c r="C427" s="11" t="n">
        <x:v>1</x:v>
      </x:c>
      <x:c r="D427" s="12" t="n">
        <x:v>0</x:v>
      </x:c>
      <x:c r="E427" s="13" t="n">
        <x:v>8</x:v>
      </x:c>
    </x:row>
    <x:row r="428">
      <x:c r="A428" s="2" t="str">
        <x:v>ladrillos catalan</x:v>
      </x:c>
      <x:c r="B428" s="11" t="n">
        <x:v>0</x:v>
      </x:c>
      <x:c r="C428" s="11" t="n">
        <x:v>1</x:v>
      </x:c>
      <x:c r="D428" s="12" t="n">
        <x:v>0</x:v>
      </x:c>
      <x:c r="E428" s="13" t="n">
        <x:v>8</x:v>
      </x:c>
    </x:row>
    <x:row r="429">
      <x:c r="A429" s="2" t="str">
        <x:v>obra negra</x:v>
      </x:c>
      <x:c r="B429" s="11" t="n">
        <x:v>0</x:v>
      </x:c>
      <x:c r="C429" s="11" t="n">
        <x:v>1</x:v>
      </x:c>
      <x:c r="D429" s="12" t="n">
        <x:v>0</x:v>
      </x:c>
      <x:c r="E429" s="13" t="n">
        <x:v>8</x:v>
      </x:c>
    </x:row>
    <x:row r="430">
      <x:c r="A430" s="2" t="str">
        <x:v>precio de tejas para techo</x:v>
      </x:c>
      <x:c r="B430" s="11" t="n">
        <x:v>0</x:v>
      </x:c>
      <x:c r="C430" s="11" t="n">
        <x:v>1</x:v>
      </x:c>
      <x:c r="D430" s="12" t="n">
        <x:v>0</x:v>
      </x:c>
      <x:c r="E430" s="13" t="n">
        <x:v>8</x:v>
      </x:c>
    </x:row>
    <x:row r="431">
      <x:c r="A431" s="2" t="str">
        <x:v>techos de tejas coloniales</x:v>
      </x:c>
      <x:c r="B431" s="11" t="n">
        <x:v>0</x:v>
      </x:c>
      <x:c r="C431" s="11" t="n">
        <x:v>1</x:v>
      </x:c>
      <x:c r="D431" s="12" t="n">
        <x:v>0</x:v>
      </x:c>
      <x:c r="E431" s="13" t="n">
        <x:v>8</x:v>
      </x:c>
    </x:row>
    <x:row r="432">
      <x:c r="A432" s="2" t="str">
        <x:v>teja de barro artesanal</x:v>
      </x:c>
      <x:c r="B432" s="11" t="n">
        <x:v>0</x:v>
      </x:c>
      <x:c r="C432" s="11" t="n">
        <x:v>1</x:v>
      </x:c>
      <x:c r="D432" s="12" t="n">
        <x:v>0</x:v>
      </x:c>
      <x:c r="E432" s="13" t="n">
        <x:v>8</x:v>
      </x:c>
    </x:row>
    <x:row r="433">
      <x:c r="A433" s="2" t="str">
        <x:v>baldosa arcilla</x:v>
      </x:c>
      <x:c r="B433" s="11" t="n">
        <x:v>0</x:v>
      </x:c>
      <x:c r="C433" s="11" t="n">
        <x:v>1</x:v>
      </x:c>
      <x:c r="D433" s="12" t="n">
        <x:v>0</x:v>
      </x:c>
      <x:c r="E433" s="13" t="n">
        <x:v>9</x:v>
      </x:c>
    </x:row>
    <x:row r="434">
      <x:c r="A434" s="2" t="str">
        <x:v>en donde las puedo comprar?</x:v>
      </x:c>
      <x:c r="B434" s="11" t="n">
        <x:v>0</x:v>
      </x:c>
      <x:c r="C434" s="11" t="n">
        <x:v>1</x:v>
      </x:c>
      <x:c r="D434" s="12" t="n">
        <x:v>0</x:v>
      </x:c>
      <x:c r="E434" s="13" t="n">
        <x:v>9</x:v>
      </x:c>
    </x:row>
    <x:row r="435">
      <x:c r="A435" s="2" t="str">
        <x:v>enchames</x:v>
      </x:c>
      <x:c r="B435" s="11" t="n">
        <x:v>0</x:v>
      </x:c>
      <x:c r="C435" s="11" t="n">
        <x:v>1</x:v>
      </x:c>
      <x:c r="D435" s="12" t="n">
        <x:v>0</x:v>
      </x:c>
      <x:c r="E435" s="13" t="n">
        <x:v>9</x:v>
      </x:c>
    </x:row>
    <x:row r="436">
      <x:c r="A436" s="2" t="str">
        <x:v>ferreteria pueblo viejo</x:v>
      </x:c>
      <x:c r="B436" s="11" t="n">
        <x:v>0</x:v>
      </x:c>
      <x:c r="C436" s="11" t="n">
        <x:v>1</x:v>
      </x:c>
      <x:c r="D436" s="12" t="n">
        <x:v>0</x:v>
      </x:c>
      <x:c r="E436" s="13" t="n">
        <x:v>9</x:v>
      </x:c>
    </x:row>
    <x:row r="437">
      <x:c r="A437" s="2" t="str">
        <x:v>ladrillo a la vista fachada</x:v>
      </x:c>
      <x:c r="B437" s="11" t="n">
        <x:v>0</x:v>
      </x:c>
      <x:c r="C437" s="11" t="n">
        <x:v>1</x:v>
      </x:c>
      <x:c r="D437" s="12" t="n">
        <x:v>0</x:v>
      </x:c>
      <x:c r="E437" s="13" t="n">
        <x:v>9</x:v>
      </x:c>
    </x:row>
    <x:row r="438">
      <x:c r="A438" s="2" t="str">
        <x:v>ladrillo a la vista rústico</x:v>
      </x:c>
      <x:c r="B438" s="11" t="n">
        <x:v>0</x:v>
      </x:c>
      <x:c r="C438" s="11" t="n">
        <x:v>1</x:v>
      </x:c>
      <x:c r="D438" s="12" t="n">
        <x:v>0</x:v>
      </x:c>
      <x:c r="E438" s="13" t="n">
        <x:v>9</x:v>
      </x:c>
    </x:row>
    <x:row r="439">
      <x:c r="A439" s="2" t="str">
        <x:v>ladrillo angosto</x:v>
      </x:c>
      <x:c r="B439" s="11" t="n">
        <x:v>0</x:v>
      </x:c>
      <x:c r="C439" s="11" t="n">
        <x:v>1</x:v>
      </x:c>
      <x:c r="D439" s="12" t="n">
        <x:v>0</x:v>
      </x:c>
      <x:c r="E439" s="13" t="n">
        <x:v>9</x:v>
      </x:c>
    </x:row>
    <x:row r="440">
      <x:c r="A440" s="2" t="str">
        <x:v>ladrillo macizo artesanal</x:v>
      </x:c>
      <x:c r="B440" s="11" t="n">
        <x:v>0</x:v>
      </x:c>
      <x:c r="C440" s="11" t="n">
        <x:v>1</x:v>
      </x:c>
      <x:c r="D440" s="12" t="n">
        <x:v>0</x:v>
      </x:c>
      <x:c r="E440" s="13" t="n">
        <x:v>9</x:v>
      </x:c>
    </x:row>
    <x:row r="441">
      <x:c r="A441" s="2" t="str">
        <x:v>ladrillos apilados</x:v>
      </x:c>
      <x:c r="B441" s="11" t="n">
        <x:v>0</x:v>
      </x:c>
      <x:c r="C441" s="11" t="n">
        <x:v>1</x:v>
      </x:c>
      <x:c r="D441" s="12" t="n">
        <x:v>0</x:v>
      </x:c>
      <x:c r="E441" s="13" t="n">
        <x:v>9</x:v>
      </x:c>
    </x:row>
    <x:row r="442">
      <x:c r="A442" s="2" t="str">
        <x:v>ladrillos de adobe precio</x:v>
      </x:c>
      <x:c r="B442" s="11" t="n">
        <x:v>0</x:v>
      </x:c>
      <x:c r="C442" s="11" t="n">
        <x:v>1</x:v>
      </x:c>
      <x:c r="D442" s="12" t="n">
        <x:v>0</x:v>
      </x:c>
      <x:c r="E442" s="13" t="n">
        <x:v>9</x:v>
      </x:c>
    </x:row>
    <x:row r="443">
      <x:c r="A443" s="2" t="str">
        <x:v>ladrillos macizos</x:v>
      </x:c>
      <x:c r="B443" s="11" t="n">
        <x:v>0</x:v>
      </x:c>
      <x:c r="C443" s="11" t="n">
        <x:v>1</x:v>
      </x:c>
      <x:c r="D443" s="12" t="n">
        <x:v>0</x:v>
      </x:c>
      <x:c r="E443" s="13" t="n">
        <x:v>9</x:v>
      </x:c>
    </x:row>
    <x:row r="444">
      <x:c r="A444" s="2" t="str">
        <x:v>ladrillos vistos exterior</x:v>
      </x:c>
      <x:c r="B444" s="11" t="n">
        <x:v>0</x:v>
      </x:c>
      <x:c r="C444" s="11" t="n">
        <x:v>1</x:v>
      </x:c>
      <x:c r="D444" s="12" t="n">
        <x:v>0</x:v>
      </x:c>
      <x:c r="E444" s="13" t="n">
        <x:v>9</x:v>
      </x:c>
    </x:row>
    <x:row r="445">
      <x:c r="A445" s="2" t="str">
        <x:v>precio ladrillo visto</x:v>
      </x:c>
      <x:c r="B445" s="11" t="n">
        <x:v>0</x:v>
      </x:c>
      <x:c r="C445" s="11" t="n">
        <x:v>1</x:v>
      </x:c>
      <x:c r="D445" s="12" t="n">
        <x:v>0</x:v>
      </x:c>
      <x:c r="E445" s="13" t="n">
        <x:v>9</x:v>
      </x:c>
    </x:row>
    <x:row r="446">
      <x:c r="A446" s="2" t="str">
        <x:v>teja pequeña de barro</x:v>
      </x:c>
      <x:c r="B446" s="11" t="n">
        <x:v>0</x:v>
      </x:c>
      <x:c r="C446" s="11" t="n">
        <x:v>1</x:v>
      </x:c>
      <x:c r="D446" s="12" t="n">
        <x:v>0</x:v>
      </x:c>
      <x:c r="E446" s="13" t="n">
        <x:v>9</x:v>
      </x:c>
    </x:row>
    <x:row r="447">
      <x:c r="A447" s="2" t="str">
        <x:v>comprar ladrillos</x:v>
      </x:c>
      <x:c r="B447" s="11" t="n">
        <x:v>0</x:v>
      </x:c>
      <x:c r="C447" s="11" t="n">
        <x:v>1</x:v>
      </x:c>
      <x:c r="D447" s="12" t="n">
        <x:v>0</x:v>
      </x:c>
      <x:c r="E447" s="13" t="n">
        <x:v>10</x:v>
      </x:c>
    </x:row>
    <x:row r="448">
      <x:c r="A448" s="2" t="str">
        <x:v>cuanto mide una teja colonial</x:v>
      </x:c>
      <x:c r="B448" s="11" t="n">
        <x:v>0</x:v>
      </x:c>
      <x:c r="C448" s="11" t="n">
        <x:v>1</x:v>
      </x:c>
      <x:c r="D448" s="12" t="n">
        <x:v>0</x:v>
      </x:c>
      <x:c r="E448" s="13" t="n">
        <x:v>10</x:v>
      </x:c>
    </x:row>
    <x:row r="449">
      <x:c r="A449" s="2" t="str">
        <x:v>historia del ladrillo</x:v>
      </x:c>
      <x:c r="B449" s="11" t="n">
        <x:v>0</x:v>
      </x:c>
      <x:c r="C449" s="11" t="n">
        <x:v>1</x:v>
      </x:c>
      <x:c r="D449" s="12" t="n">
        <x:v>0</x:v>
      </x:c>
      <x:c r="E449" s="13" t="n">
        <x:v>10</x:v>
      </x:c>
    </x:row>
    <x:row r="450">
      <x:c r="A450" s="2" t="str">
        <x:v>ladrillo a la vista medidas</x:v>
      </x:c>
      <x:c r="B450" s="11" t="n">
        <x:v>0</x:v>
      </x:c>
      <x:c r="C450" s="11" t="n">
        <x:v>1</x:v>
      </x:c>
      <x:c r="D450" s="12" t="n">
        <x:v>0</x:v>
      </x:c>
      <x:c r="E450" s="13" t="n">
        <x:v>10</x:v>
      </x:c>
    </x:row>
    <x:row r="451">
      <x:c r="A451" s="2" t="str">
        <x:v>ladrillo de barro cocido precio</x:v>
      </x:c>
      <x:c r="B451" s="11" t="n">
        <x:v>0</x:v>
      </x:c>
      <x:c r="C451" s="11" t="n">
        <x:v>1</x:v>
      </x:c>
      <x:c r="D451" s="12" t="n">
        <x:v>0</x:v>
      </x:c>
      <x:c r="E451" s="13" t="n">
        <x:v>10</x:v>
      </x:c>
    </x:row>
    <x:row r="452">
      <x:c r="A452" s="2" t="str">
        <x:v>ladrillos coloniales</x:v>
      </x:c>
      <x:c r="B452" s="11" t="n">
        <x:v>0</x:v>
      </x:c>
      <x:c r="C452" s="11" t="n">
        <x:v>1</x:v>
      </x:c>
      <x:c r="D452" s="12" t="n">
        <x:v>0</x:v>
      </x:c>
      <x:c r="E452" s="13" t="n">
        <x:v>10</x:v>
      </x:c>
    </x:row>
    <x:row r="453">
      <x:c r="A453" s="2" t="str">
        <x:v>medidas de teja colonial</x:v>
      </x:c>
      <x:c r="B453" s="11" t="n">
        <x:v>0</x:v>
      </x:c>
      <x:c r="C453" s="11" t="n">
        <x:v>1</x:v>
      </x:c>
      <x:c r="D453" s="12" t="n">
        <x:v>0</x:v>
      </x:c>
      <x:c r="E453" s="13" t="n">
        <x:v>10</x:v>
      </x:c>
    </x:row>
    <x:row r="454">
      <x:c r="A454" s="2" t="str">
        <x:v>medidas ladrillo</x:v>
      </x:c>
      <x:c r="B454" s="11" t="n">
        <x:v>0</x:v>
      </x:c>
      <x:c r="C454" s="11" t="n">
        <x:v>1</x:v>
      </x:c>
      <x:c r="D454" s="12" t="n">
        <x:v>0</x:v>
      </x:c>
      <x:c r="E454" s="13" t="n">
        <x:v>10</x:v>
      </x:c>
    </x:row>
    <x:row r="455">
      <x:c r="A455" s="2" t="str">
        <x:v>pueblo viejo</x:v>
      </x:c>
      <x:c r="B455" s="11" t="n">
        <x:v>0</x:v>
      </x:c>
      <x:c r="C455" s="11" t="n">
        <x:v>1</x:v>
      </x:c>
      <x:c r="D455" s="12" t="n">
        <x:v>0</x:v>
      </x:c>
      <x:c r="E455" s="13" t="n">
        <x:v>10</x:v>
      </x:c>
    </x:row>
    <x:row r="456">
      <x:c r="A456" s="2" t="str">
        <x:v>teja ceramica plana</x:v>
      </x:c>
      <x:c r="B456" s="11" t="n">
        <x:v>0</x:v>
      </x:c>
      <x:c r="C456" s="11" t="n">
        <x:v>1</x:v>
      </x:c>
      <x:c r="D456" s="12" t="n">
        <x:v>0</x:v>
      </x:c>
      <x:c r="E456" s="13" t="n">
        <x:v>10</x:v>
      </x:c>
    </x:row>
    <x:row r="457">
      <x:c r="A457" s="2" t="str">
        <x:v>teja home</x:v>
      </x:c>
      <x:c r="B457" s="11" t="n">
        <x:v>0</x:v>
      </x:c>
      <x:c r="C457" s="11" t="n">
        <x:v>1</x:v>
      </x:c>
      <x:c r="D457" s="12" t="n">
        <x:v>0</x:v>
      </x:c>
      <x:c r="E457" s="13" t="n">
        <x:v>10</x:v>
      </x:c>
    </x:row>
    <x:row r="458">
      <x:c r="A458" s="2" t="str">
        <x:v>cuanto vale una teja de barro en colombia</x:v>
      </x:c>
      <x:c r="B458" s="11" t="n">
        <x:v>0</x:v>
      </x:c>
      <x:c r="C458" s="11" t="n">
        <x:v>1</x:v>
      </x:c>
      <x:c r="D458" s="12" t="n">
        <x:v>0</x:v>
      </x:c>
      <x:c r="E458" s="13" t="n">
        <x:v>11</x:v>
      </x:c>
    </x:row>
    <x:row r="459">
      <x:c r="A459" s="2" t="str">
        <x:v>cubierta colonial</x:v>
      </x:c>
      <x:c r="B459" s="11" t="n">
        <x:v>0</x:v>
      </x:c>
      <x:c r="C459" s="11" t="n">
        <x:v>1</x:v>
      </x:c>
      <x:c r="D459" s="12" t="n">
        <x:v>0</x:v>
      </x:c>
      <x:c r="E459" s="13" t="n">
        <x:v>11</x:v>
      </x:c>
    </x:row>
    <x:row r="460">
      <x:c r="A460" s="2" t="str">
        <x:v>ladrillera medellín</x:v>
      </x:c>
      <x:c r="B460" s="11" t="n">
        <x:v>0</x:v>
      </x:c>
      <x:c r="C460" s="11" t="n">
        <x:v>1</x:v>
      </x:c>
      <x:c r="D460" s="12" t="n">
        <x:v>0</x:v>
      </x:c>
      <x:c r="E460" s="13" t="n">
        <x:v>11</x:v>
      </x:c>
    </x:row>
    <x:row r="461">
      <x:c r="A461" s="2" t="str">
        <x:v>ladrilleras en antioquia</x:v>
      </x:c>
      <x:c r="B461" s="11" t="n">
        <x:v>0</x:v>
      </x:c>
      <x:c r="C461" s="11" t="n">
        <x:v>1</x:v>
      </x:c>
      <x:c r="D461" s="12" t="n">
        <x:v>0</x:v>
      </x:c>
      <x:c r="E461" s="13" t="n">
        <x:v>11</x:v>
      </x:c>
    </x:row>
    <x:row r="462">
      <x:c r="A462" s="2" t="str">
        <x:v>ladrillo comprar</x:v>
      </x:c>
      <x:c r="B462" s="11" t="n">
        <x:v>0</x:v>
      </x:c>
      <x:c r="C462" s="11" t="n">
        <x:v>1</x:v>
      </x:c>
      <x:c r="D462" s="12" t="n">
        <x:v>0</x:v>
      </x:c>
      <x:c r="E462" s="13" t="n">
        <x:v>11</x:v>
      </x:c>
    </x:row>
    <x:row r="463">
      <x:c r="A463" s="2" t="str">
        <x:v>medidas ladrillo a la vista</x:v>
      </x:c>
      <x:c r="B463" s="11" t="n">
        <x:v>0</x:v>
      </x:c>
      <x:c r="C463" s="11" t="n">
        <x:v>1</x:v>
      </x:c>
      <x:c r="D463" s="12" t="n">
        <x:v>0</x:v>
      </x:c>
      <x:c r="E463" s="13" t="n">
        <x:v>11</x:v>
      </x:c>
    </x:row>
    <x:row r="464">
      <x:c r="A464" s="2" t="str">
        <x:v>romno</x:v>
      </x:c>
      <x:c r="B464" s="11" t="n">
        <x:v>0</x:v>
      </x:c>
      <x:c r="C464" s="11" t="n">
        <x:v>1</x:v>
      </x:c>
      <x:c r="D464" s="12" t="n">
        <x:v>0</x:v>
      </x:c>
      <x:c r="E464" s="13" t="n">
        <x:v>11</x:v>
      </x:c>
    </x:row>
    <x:row r="465">
      <x:c r="A465" s="2" t="str">
        <x:v>teja imitación barro</x:v>
      </x:c>
      <x:c r="B465" s="11" t="n">
        <x:v>0</x:v>
      </x:c>
      <x:c r="C465" s="11" t="n">
        <x:v>1</x:v>
      </x:c>
      <x:c r="D465" s="12" t="n">
        <x:v>0</x:v>
      </x:c>
      <x:c r="E465" s="13" t="n">
        <x:v>11</x:v>
      </x:c>
    </x:row>
    <x:row r="466">
      <x:c r="A466" s="2" t="str">
        <x:v>teja roja de barro</x:v>
      </x:c>
      <x:c r="B466" s="11" t="n">
        <x:v>0</x:v>
      </x:c>
      <x:c r="C466" s="11" t="n">
        <x:v>1</x:v>
      </x:c>
      <x:c r="D466" s="12" t="n">
        <x:v>0</x:v>
      </x:c>
      <x:c r="E466" s="13" t="n">
        <x:v>11</x:v>
      </x:c>
    </x:row>
    <x:row r="467">
      <x:c r="A467" s="2" t="str">
        <x:v>ladrillera en medellin</x:v>
      </x:c>
      <x:c r="B467" s="11" t="n">
        <x:v>0</x:v>
      </x:c>
      <x:c r="C467" s="11" t="n">
        <x:v>1</x:v>
      </x:c>
      <x:c r="D467" s="12" t="n">
        <x:v>0</x:v>
      </x:c>
      <x:c r="E467" s="13" t="n">
        <x:v>12</x:v>
      </x:c>
    </x:row>
    <x:row r="468">
      <x:c r="A468" s="2" t="str">
        <x:v>ladrillo de exterior</x:v>
      </x:c>
      <x:c r="B468" s="11" t="n">
        <x:v>0</x:v>
      </x:c>
      <x:c r="C468" s="11" t="n">
        <x:v>1</x:v>
      </x:c>
      <x:c r="D468" s="12" t="n">
        <x:v>0</x:v>
      </x:c>
      <x:c r="E468" s="13" t="n">
        <x:v>12</x:v>
      </x:c>
    </x:row>
    <x:row r="469">
      <x:c r="A469" s="2" t="str">
        <x:v>ladrillo macizo de barro</x:v>
      </x:c>
      <x:c r="B469" s="11" t="n">
        <x:v>0</x:v>
      </x:c>
      <x:c r="C469" s="11" t="n">
        <x:v>1</x:v>
      </x:c>
      <x:c r="D469" s="12" t="n">
        <x:v>0</x:v>
      </x:c>
      <x:c r="E469" s="13" t="n">
        <x:v>12</x:v>
      </x:c>
    </x:row>
    <x:row r="470">
      <x:c r="A470" s="2" t="str">
        <x:v>piso de barri</x:v>
      </x:c>
      <x:c r="B470" s="11" t="n">
        <x:v>0</x:v>
      </x:c>
      <x:c r="C470" s="11" t="n">
        <x:v>1</x:v>
      </x:c>
      <x:c r="D470" s="12" t="n">
        <x:v>0</x:v>
      </x:c>
      <x:c r="E470" s="13" t="n">
        <x:v>12</x:v>
      </x:c>
    </x:row>
    <x:row r="471">
      <x:c r="A471" s="2" t="str">
        <x:v>teja plana ceramica</x:v>
      </x:c>
      <x:c r="B471" s="11" t="n">
        <x:v>0</x:v>
      </x:c>
      <x:c r="C471" s="11" t="n">
        <x:v>1</x:v>
      </x:c>
      <x:c r="D471" s="12" t="n">
        <x:v>0</x:v>
      </x:c>
      <x:c r="E471" s="13" t="n">
        <x:v>12</x:v>
      </x:c>
    </x:row>
    <x:row r="472">
      <x:c r="A472" s="2" t="str">
        <x:v>teja plana de barro precio</x:v>
      </x:c>
      <x:c r="B472" s="11" t="n">
        <x:v>0</x:v>
      </x:c>
      <x:c r="C472" s="11" t="n">
        <x:v>1</x:v>
      </x:c>
      <x:c r="D472" s="12" t="n">
        <x:v>0</x:v>
      </x:c>
      <x:c r="E472" s="13" t="n">
        <x:v>12</x:v>
      </x:c>
    </x:row>
    <x:row r="473">
      <x:c r="A473" s="2" t="str">
        <x:v>piso romano</x:v>
      </x:c>
      <x:c r="B473" s="11" t="n">
        <x:v>0</x:v>
      </x:c>
      <x:c r="C473" s="11" t="n">
        <x:v>1</x:v>
      </x:c>
      <x:c r="D473" s="12" t="n">
        <x:v>0</x:v>
      </x:c>
      <x:c r="E473" s="13" t="n">
        <x:v>13</x:v>
      </x:c>
    </x:row>
    <x:row r="474">
      <x:c r="A474" s="2" t="str">
        <x:v>teja colonial ceramica</x:v>
      </x:c>
      <x:c r="B474" s="11" t="n">
        <x:v>0</x:v>
      </x:c>
      <x:c r="C474" s="11" t="n">
        <x:v>1</x:v>
      </x:c>
      <x:c r="D474" s="12" t="n">
        <x:v>0</x:v>
      </x:c>
      <x:c r="E474" s="13" t="n">
        <x:v>13</x:v>
      </x:c>
    </x:row>
    <x:row r="475">
      <x:c r="A475" s="2" t="str">
        <x:v>tejas para casa de campo</x:v>
      </x:c>
      <x:c r="B475" s="11" t="n">
        <x:v>0</x:v>
      </x:c>
      <x:c r="C475" s="11" t="n">
        <x:v>1</x:v>
      </x:c>
      <x:c r="D475" s="12" t="n">
        <x:v>0</x:v>
      </x:c>
      <x:c r="E475" s="13" t="n">
        <x:v>13</x:v>
      </x:c>
    </x:row>
    <x:row r="476">
      <x:c r="A476" s="2" t="str">
        <x:v>donde la puedo comprar</x:v>
      </x:c>
      <x:c r="B476" s="11" t="n">
        <x:v>0</x:v>
      </x:c>
      <x:c r="C476" s="11" t="n">
        <x:v>1</x:v>
      </x:c>
      <x:c r="D476" s="12" t="n">
        <x:v>0</x:v>
      </x:c>
      <x:c r="E476" s="13" t="n">
        <x:v>14</x:v>
      </x:c>
    </x:row>
    <x:row r="477">
      <x:c r="A477" s="2" t="str">
        <x:v>ladrillo para fachadas</x:v>
      </x:c>
      <x:c r="B477" s="11" t="n">
        <x:v>0</x:v>
      </x:c>
      <x:c r="C477" s="11" t="n">
        <x:v>1</x:v>
      </x:c>
      <x:c r="D477" s="12" t="n">
        <x:v>0</x:v>
      </x:c>
      <x:c r="E477" s="13" t="n">
        <x:v>14</x:v>
      </x:c>
    </x:row>
    <x:row r="478">
      <x:c r="A478" s="2" t="str">
        <x:v>ladrillo para muro</x:v>
      </x:c>
      <x:c r="B478" s="11" t="n">
        <x:v>0</x:v>
      </x:c>
      <x:c r="C478" s="11" t="n">
        <x:v>1</x:v>
      </x:c>
      <x:c r="D478" s="12" t="n">
        <x:v>0</x:v>
      </x:c>
      <x:c r="E478" s="13" t="n">
        <x:v>14</x:v>
      </x:c>
    </x:row>
    <x:row r="479">
      <x:c r="A479" s="2" t="str">
        <x:v>teja colonial precio colombia</x:v>
      </x:c>
      <x:c r="B479" s="11" t="n">
        <x:v>0</x:v>
      </x:c>
      <x:c r="C479" s="11" t="n">
        <x:v>1</x:v>
      </x:c>
      <x:c r="D479" s="12" t="n">
        <x:v>0</x:v>
      </x:c>
      <x:c r="E479" s="13" t="n">
        <x:v>14</x:v>
      </x:c>
    </x:row>
    <x:row r="480">
      <x:c r="A480" s="2" t="str">
        <x:v>house bricks for sale near me</x:v>
      </x:c>
      <x:c r="B480" s="11" t="n">
        <x:v>0</x:v>
      </x:c>
      <x:c r="C480" s="11" t="n">
        <x:v>1</x:v>
      </x:c>
      <x:c r="D480" s="12" t="n">
        <x:v>0</x:v>
      </x:c>
      <x:c r="E480" s="13" t="n">
        <x:v>17</x:v>
      </x:c>
    </x:row>
    <x:row r="481">
      <x:c r="A481" s="2" t="str">
        <x:v>imagen</x:v>
      </x:c>
      <x:c r="B481" s="11" t="n">
        <x:v>0</x:v>
      </x:c>
      <x:c r="C481" s="11" t="n">
        <x:v>1</x:v>
      </x:c>
      <x:c r="D481" s="12" t="n">
        <x:v>0</x:v>
      </x:c>
      <x:c r="E481" s="13" t="n">
        <x:v>18</x:v>
      </x:c>
    </x:row>
    <x:row r="482">
      <x:c r="A482" s="2" t="str">
        <x:v>tipo de ladrillo</x:v>
      </x:c>
      <x:c r="B482" s="11" t="n">
        <x:v>0</x:v>
      </x:c>
      <x:c r="C482" s="11" t="n">
        <x:v>1</x:v>
      </x:c>
      <x:c r="D482" s="12" t="n">
        <x:v>0</x:v>
      </x:c>
      <x:c r="E482" s="13" t="n">
        <x:v>19</x:v>
      </x:c>
    </x:row>
    <x:row r="483">
      <x:c r="A483" s="2" t="str">
        <x:v>techos coloniales</x:v>
      </x:c>
      <x:c r="B483" s="11" t="n">
        <x:v>0</x:v>
      </x:c>
      <x:c r="C483" s="11" t="n">
        <x:v>1</x:v>
      </x:c>
      <x:c r="D483" s="12" t="n">
        <x:v>0</x:v>
      </x:c>
      <x:c r="E483" s="13" t="n">
        <x:v>20</x:v>
      </x:c>
    </x:row>
    <x:row r="484">
      <x:c r="A484" s="2" t="str">
        <x:v>baldosa ceramica 30x30</x:v>
      </x:c>
      <x:c r="B484" s="11" t="n">
        <x:v>0</x:v>
      </x:c>
      <x:c r="C484" s="11" t="n">
        <x:v>1</x:v>
      </x:c>
      <x:c r="D484" s="12" t="n">
        <x:v>0</x:v>
      </x:c>
      <x:c r="E484" s="13" t="n">
        <x:v>21</x:v>
      </x:c>
    </x:row>
    <x:row r="485">
      <x:c r="A485" s="2" t="str">
        <x:v>cubierta de teja plana</x:v>
      </x:c>
      <x:c r="B485" s="11" t="n">
        <x:v>0</x:v>
      </x:c>
      <x:c r="C485" s="11" t="n">
        <x:v>1</x:v>
      </x:c>
      <x:c r="D485" s="12" t="n">
        <x:v>0</x:v>
      </x:c>
      <x:c r="E485" s="13" t="n">
        <x:v>21</x:v>
      </x:c>
    </x:row>
    <x:row r="486">
      <x:c r="A486" s="2" t="str">
        <x:v>ladrillo macizo de arcilla</x:v>
      </x:c>
      <x:c r="B486" s="11" t="n">
        <x:v>0</x:v>
      </x:c>
      <x:c r="C486" s="11" t="n">
        <x:v>1</x:v>
      </x:c>
      <x:c r="D486" s="12" t="n">
        <x:v>0</x:v>
      </x:c>
      <x:c r="E486" s="13" t="n">
        <x:v>21</x:v>
      </x:c>
    </x:row>
    <x:row r="487">
      <x:c r="A487" s="2" t="str">
        <x:v>enchape de muro</x:v>
      </x:c>
      <x:c r="B487" s="11" t="n">
        <x:v>0</x:v>
      </x:c>
      <x:c r="C487" s="11" t="n">
        <x:v>1</x:v>
      </x:c>
      <x:c r="D487" s="12" t="n">
        <x:v>0</x:v>
      </x:c>
      <x:c r="E487" s="13" t="n">
        <x:v>22</x:v>
      </x:c>
    </x:row>
    <x:row r="488">
      <x:c r="A488" s="2" t="str">
        <x:v>enchapes para paredes interiores</x:v>
      </x:c>
      <x:c r="B488" s="11" t="n">
        <x:v>0</x:v>
      </x:c>
      <x:c r="C488" s="11" t="n">
        <x:v>1</x:v>
      </x:c>
      <x:c r="D488" s="12" t="n">
        <x:v>0</x:v>
      </x:c>
      <x:c r="E488" s="13" t="n">
        <x:v>22</x:v>
      </x:c>
    </x:row>
    <x:row r="489">
      <x:c r="A489" s="2" t="str">
        <x:v>piso ceramico 30x30</x:v>
      </x:c>
      <x:c r="B489" s="11" t="n">
        <x:v>0</x:v>
      </x:c>
      <x:c r="C489" s="11" t="n">
        <x:v>1</x:v>
      </x:c>
      <x:c r="D489" s="12" t="n">
        <x:v>0</x:v>
      </x:c>
      <x:c r="E489" s="13" t="n">
        <x:v>24</x:v>
      </x:c>
    </x:row>
    <x:row r="490">
      <x:c r="A490" s="2" t="str">
        <x:v>terracotta jali work near me</x:v>
      </x:c>
      <x:c r="B490" s="11" t="n">
        <x:v>0</x:v>
      </x:c>
      <x:c r="C490" s="11" t="n">
        <x:v>1</x:v>
      </x:c>
      <x:c r="D490" s="12" t="n">
        <x:v>0</x:v>
      </x:c>
      <x:c r="E490" s="13" t="n">
        <x:v>25</x:v>
      </x:c>
    </x:row>
    <x:row r="491">
      <x:c r="A491" s="2" t="str">
        <x:v>teja española colonial</x:v>
      </x:c>
      <x:c r="B491" s="11" t="n">
        <x:v>0</x:v>
      </x:c>
      <x:c r="C491" s="11" t="n">
        <x:v>1</x:v>
      </x:c>
      <x:c r="D491" s="12" t="n">
        <x:v>0</x:v>
      </x:c>
      <x:c r="E491" s="13" t="n">
        <x:v>27</x:v>
      </x:c>
    </x:row>
    <x:row r="492">
      <x:c r="A492" s="2" t="str">
        <x:v>enchape ladrillo valencia</x:v>
      </x:c>
      <x:c r="B492" s="11" t="n">
        <x:v>0</x:v>
      </x:c>
      <x:c r="C492" s="11" t="n">
        <x:v>1</x:v>
      </x:c>
      <x:c r="D492" s="12" t="n">
        <x:v>0</x:v>
      </x:c>
      <x:c r="E492" s="13" t="n">
        <x:v>28</x:v>
      </x:c>
    </x:row>
    <x:row r="493">
      <x:c r="A493" s="2" t="str">
        <x:v>tejas coloniales españolas</x:v>
      </x:c>
      <x:c r="B493" s="11" t="n">
        <x:v>0</x:v>
      </x:c>
      <x:c r="C493" s="11" t="n">
        <x:v>1</x:v>
      </x:c>
      <x:c r="D493" s="12" t="n">
        <x:v>0</x:v>
      </x:c>
      <x:c r="E493" s="13" t="n">
        <x:v>28</x:v>
      </x:c>
    </x:row>
    <x:row r="494">
      <x:c r="A494" s="2" t="str">
        <x:v>30 x30</x:v>
      </x:c>
      <x:c r="B494" s="11" t="n">
        <x:v>0</x:v>
      </x:c>
      <x:c r="C494" s="11" t="n">
        <x:v>1</x:v>
      </x:c>
      <x:c r="D494" s="12" t="n">
        <x:v>0</x:v>
      </x:c>
      <x:c r="E494" s="13" t="n">
        <x:v>29</x:v>
      </x:c>
    </x:row>
    <x:row r="495">
      <x:c r="A495" s="2" t="str">
        <x:v>enchape ladrillo gris</x:v>
      </x:c>
      <x:c r="B495" s="11" t="n">
        <x:v>0</x:v>
      </x:c>
      <x:c r="C495" s="11" t="n">
        <x:v>1</x:v>
      </x:c>
      <x:c r="D495" s="12" t="n">
        <x:v>0</x:v>
      </x:c>
      <x:c r="E495" s="13" t="n">
        <x:v>29</x:v>
      </x:c>
    </x:row>
    <x:row r="496">
      <x:c r="A496" s="2" t="str">
        <x:v>ladrillo bocadillo</x:v>
      </x:c>
      <x:c r="B496" s="11" t="n">
        <x:v>0</x:v>
      </x:c>
      <x:c r="C496" s="11" t="n">
        <x:v>1</x:v>
      </x:c>
      <x:c r="D496" s="12" t="n">
        <x:v>0</x:v>
      </x:c>
      <x:c r="E496" s="13" t="n">
        <x:v>29</x:v>
      </x:c>
    </x:row>
    <x:row r="497">
      <x:c r="A497" s="2" t="str">
        <x:v>teja metalica colonial</x:v>
      </x:c>
      <x:c r="B497" s="11" t="n">
        <x:v>0</x:v>
      </x:c>
      <x:c r="C497" s="11" t="n">
        <x:v>1</x:v>
      </x:c>
      <x:c r="D497" s="12" t="n">
        <x:v>0</x:v>
      </x:c>
      <x:c r="E497" s="13" t="n">
        <x:v>30</x:v>
      </x:c>
    </x:row>
    <x:row r="498">
      <x:c r="A498" s="2" t="str">
        <x:v>30x30</x:v>
      </x:c>
      <x:c r="B498" s="11" t="n">
        <x:v>0</x:v>
      </x:c>
      <x:c r="C498" s="11" t="n">
        <x:v>1</x:v>
      </x:c>
      <x:c r="D498" s="12" t="n">
        <x:v>0</x:v>
      </x:c>
      <x:c r="E498" s="13" t="n">
        <x:v>31</x:v>
      </x:c>
    </x:row>
    <x:row r="499">
      <x:c r="A499" s="2" t="str">
        <x:v>clap house</x:v>
      </x:c>
      <x:c r="B499" s="11" t="n">
        <x:v>0</x:v>
      </x:c>
      <x:c r="C499" s="11" t="n">
        <x:v>1</x:v>
      </x:c>
      <x:c r="D499" s="12" t="n">
        <x:v>0</x:v>
      </x:c>
      <x:c r="E499" s="13" t="n">
        <x:v>31</x:v>
      </x:c>
    </x:row>
    <x:row r="500">
      <x:c r="A500" s="2" t="str">
        <x:v>fotos de instalación</x:v>
      </x:c>
      <x:c r="B500" s="11" t="n">
        <x:v>0</x:v>
      </x:c>
      <x:c r="C500" s="11" t="n">
        <x:v>1</x:v>
      </x:c>
      <x:c r="D500" s="12" t="n">
        <x:v>0</x:v>
      </x:c>
      <x:c r="E500" s="13" t="n">
        <x:v>32</x:v>
      </x:c>
    </x:row>
    <x:row r="501">
      <x:c r="A501" s="2" t="str">
        <x:v>adobe de 10 precio</x:v>
      </x:c>
      <x:c r="B501" s="11" t="n">
        <x:v>0</x:v>
      </x:c>
      <x:c r="C501" s="11" t="n">
        <x:v>1</x:v>
      </x:c>
      <x:c r="D501" s="12" t="n">
        <x:v>0</x:v>
      </x:c>
      <x:c r="E501" s="13" t="n">
        <x:v>34</x:v>
      </x:c>
    </x:row>
    <x:row r="502">
      <x:c r="A502" s="2" t="str">
        <x:v>agha farmhouse</x:v>
      </x:c>
      <x:c r="B502" s="11" t="n">
        <x:v>0</x:v>
      </x:c>
      <x:c r="C502" s="11" t="n">
        <x:v>1</x:v>
      </x:c>
      <x:c r="D502" s="12" t="n">
        <x:v>0</x:v>
      </x:c>
      <x:c r="E502" s="13" t="n">
        <x:v>35</x:v>
      </x:c>
    </x:row>
    <x:row r="503">
      <x:c r="A503" s="2" t="str">
        <x:v>tableta de ladrillo para fachada</x:v>
      </x:c>
      <x:c r="B503" s="11" t="n">
        <x:v>0</x:v>
      </x:c>
      <x:c r="C503" s="11" t="n">
        <x:v>1</x:v>
      </x:c>
      <x:c r="D503" s="12" t="n">
        <x:v>0</x:v>
      </x:c>
      <x:c r="E503" s="13" t="n">
        <x:v>36</x:v>
      </x:c>
    </x:row>
    <x:row r="504">
      <x:c r="A504" s="2" t="str">
        <x:v>casas con enchape</x:v>
      </x:c>
      <x:c r="B504" s="11" t="n">
        <x:v>0</x:v>
      </x:c>
      <x:c r="C504" s="11" t="n">
        <x:v>1</x:v>
      </x:c>
      <x:c r="D504" s="12" t="n">
        <x:v>0</x:v>
      </x:c>
      <x:c r="E504" s="13" t="n">
        <x:v>37</x:v>
      </x:c>
    </x:row>
    <x:row r="505">
      <x:c r="A505" s="2" t="str">
        <x:v>clay floor</x:v>
      </x:c>
      <x:c r="B505" s="11" t="n">
        <x:v>0</x:v>
      </x:c>
      <x:c r="C505" s="11" t="n">
        <x:v>1</x:v>
      </x:c>
      <x:c r="D505" s="12" t="n">
        <x:v>0</x:v>
      </x:c>
      <x:c r="E505" s="13" t="n">
        <x:v>37</x:v>
      </x:c>
    </x:row>
    <x:row r="506">
      <x:c r="A506" s="2" t="str">
        <x:v>tamaño teja</x:v>
      </x:c>
      <x:c r="B506" s="11" t="n">
        <x:v>0</x:v>
      </x:c>
      <x:c r="C506" s="11" t="n">
        <x:v>1</x:v>
      </x:c>
      <x:c r="D506" s="12" t="n">
        <x:v>0</x:v>
      </x:c>
      <x:c r="E506" s="13" t="n">
        <x:v>37</x:v>
      </x:c>
    </x:row>
    <x:row r="507">
      <x:c r="A507" s="2" t="str">
        <x:v>fachada enchapada</x:v>
      </x:c>
      <x:c r="B507" s="11" t="n">
        <x:v>0</x:v>
      </x:c>
      <x:c r="C507" s="11" t="n">
        <x:v>1</x:v>
      </x:c>
      <x:c r="D507" s="12" t="n">
        <x:v>0</x:v>
      </x:c>
      <x:c r="E507" s="13" t="n">
        <x:v>38</x:v>
      </x:c>
    </x:row>
    <x:row r="508">
      <x:c r="A508" s="2" t="str">
        <x:v>varshas kitchen hut</x:v>
      </x:c>
      <x:c r="B508" s="11" t="n">
        <x:v>0</x:v>
      </x:c>
      <x:c r="C508" s="11" t="n">
        <x:v>1</x:v>
      </x:c>
      <x:c r="D508" s="12" t="n">
        <x:v>0</x:v>
      </x:c>
      <x:c r="E508" s="13" t="n">
        <x:v>38</x:v>
      </x:c>
    </x:row>
    <x:row r="509">
      <x:c r="A509" s="2" t="str">
        <x:v>arcilla para construccion precio</x:v>
      </x:c>
      <x:c r="B509" s="11" t="n">
        <x:v>0</x:v>
      </x:c>
      <x:c r="C509" s="11" t="n">
        <x:v>1</x:v>
      </x:c>
      <x:c r="D509" s="12" t="n">
        <x:v>0</x:v>
      </x:c>
      <x:c r="E509" s="13" t="n">
        <x:v>39</x:v>
      </x:c>
    </x:row>
    <x:row r="510">
      <x:c r="A510" s="2" t="str">
        <x:v>colonial tile</x:v>
      </x:c>
      <x:c r="B510" s="11" t="n">
        <x:v>0</x:v>
      </x:c>
      <x:c r="C510" s="11" t="n">
        <x:v>1</x:v>
      </x:c>
      <x:c r="D510" s="12" t="n">
        <x:v>0</x:v>
      </x:c>
      <x:c r="E510" s="13" t="n">
        <x:v>41</x:v>
      </x:c>
    </x:row>
    <x:row r="511">
      <x:c r="A511" s="2" t="str">
        <x:v>enchapes modernos</x:v>
      </x:c>
      <x:c r="B511" s="11" t="n">
        <x:v>0</x:v>
      </x:c>
      <x:c r="C511" s="11" t="n">
        <x:v>1</x:v>
      </x:c>
      <x:c r="D511" s="12" t="n">
        <x:v>0</x:v>
      </x:c>
      <x:c r="E511" s="13" t="n">
        <x:v>41</x:v>
      </x:c>
    </x:row>
    <x:row r="512">
      <x:c r="A512" s="2" t="str">
        <x:v>ladrillo bocadillo macizo</x:v>
      </x:c>
      <x:c r="B512" s="11" t="n">
        <x:v>0</x:v>
      </x:c>
      <x:c r="C512" s="11" t="n">
        <x:v>1</x:v>
      </x:c>
      <x:c r="D512" s="12" t="n">
        <x:v>0</x:v>
      </x:c>
      <x:c r="E512" s="13" t="n">
        <x:v>41</x:v>
      </x:c>
    </x:row>
    <x:row r="513">
      <x:c r="A513" s="2" t="str">
        <x:v>113 en numero romano</x:v>
      </x:c>
      <x:c r="B513" s="11" t="n">
        <x:v>0</x:v>
      </x:c>
      <x:c r="C513" s="11" t="n">
        <x:v>1</x:v>
      </x:c>
      <x:c r="D513" s="12" t="n">
        <x:v>0</x:v>
      </x:c>
      <x:c r="E513" s="13" t="n">
        <x:v>42</x:v>
      </x:c>
    </x:row>
    <x:row r="514">
      <x:c r="A514" s="2" t="str">
        <x:v>cuantas tejas de barro por m2</x:v>
      </x:c>
      <x:c r="B514" s="11" t="n">
        <x:v>0</x:v>
      </x:c>
      <x:c r="C514" s="11" t="n">
        <x:v>1</x:v>
      </x:c>
      <x:c r="D514" s="12" t="n">
        <x:v>0</x:v>
      </x:c>
      <x:c r="E514" s="13" t="n">
        <x:v>42</x:v>
      </x:c>
    </x:row>
    <x:row r="515">
      <x:c r="A515" s="2" t="str">
        <x:v>baldosa ladrillo</x:v>
      </x:c>
      <x:c r="B515" s="11" t="n">
        <x:v>0</x:v>
      </x:c>
      <x:c r="C515" s="11" t="n">
        <x:v>1</x:v>
      </x:c>
      <x:c r="D515" s="12" t="n">
        <x:v>0</x:v>
      </x:c>
      <x:c r="E515" s="13" t="n">
        <x:v>43</x:v>
      </x:c>
    </x:row>
    <x:row r="516">
      <x:c r="A516" s="2" t="str">
        <x:v>pisos y enchapes</x:v>
      </x:c>
      <x:c r="B516" s="11" t="n">
        <x:v>0</x:v>
      </x:c>
      <x:c r="C516" s="11" t="n">
        <x:v>1</x:v>
      </x:c>
      <x:c r="D516" s="12" t="n">
        <x:v>0</x:v>
      </x:c>
      <x:c r="E516" s="13" t="n">
        <x:v>43</x:v>
      </x:c>
    </x:row>
    <x:row r="517">
      <x:c r="A517" s="2" t="str">
        <x:v>teja de barro bogotana</x:v>
      </x:c>
      <x:c r="B517" s="11" t="n">
        <x:v>0</x:v>
      </x:c>
      <x:c r="C517" s="11" t="n">
        <x:v>1</x:v>
      </x:c>
      <x:c r="D517" s="12" t="n">
        <x:v>0</x:v>
      </x:c>
      <x:c r="E517" s="13" t="n">
        <x:v>47</x:v>
      </x:c>
    </x:row>
    <x:row r="518">
      <x:c r="A518" s="2" t="str">
        <x:v>enchapes para salas</x:v>
      </x:c>
      <x:c r="B518" s="11" t="n">
        <x:v>0</x:v>
      </x:c>
      <x:c r="C518" s="11" t="n">
        <x:v>1</x:v>
      </x:c>
      <x:c r="D518" s="12" t="n">
        <x:v>0</x:v>
      </x:c>
      <x:c r="E518" s="13" t="n">
        <x:v>48</x:v>
      </x:c>
    </x:row>
    <x:row r="519">
      <x:c r="A519" s="2" t="str">
        <x:v>teja bogotana</x:v>
      </x:c>
      <x:c r="B519" s="11" t="n">
        <x:v>0</x:v>
      </x:c>
      <x:c r="C519" s="11" t="n">
        <x:v>1</x:v>
      </x:c>
      <x:c r="D519" s="12" t="n">
        <x:v>0</x:v>
      </x:c>
      <x:c r="E519" s="13" t="n">
        <x:v>50</x:v>
      </x:c>
    </x:row>
    <x:row r="520">
      <x:c r="A520" s="2" t="str">
        <x:v>adobes calados</x:v>
      </x:c>
      <x:c r="B520" s="11" t="n">
        <x:v>0</x:v>
      </x:c>
      <x:c r="C520" s="11" t="n">
        <x:v>1</x:v>
      </x:c>
      <x:c r="D520" s="12" t="n">
        <x:v>0</x:v>
      </x:c>
      <x:c r="E520" s="13" t="n">
        <x:v>51</x:v>
      </x:c>
    </x:row>
    <x:row r="521">
      <x:c r="A521" s="2" t="str">
        <x:v>enchape fachadas casas</x:v>
      </x:c>
      <x:c r="B521" s="11" t="n">
        <x:v>0</x:v>
      </x:c>
      <x:c r="C521" s="11" t="n">
        <x:v>1</x:v>
      </x:c>
      <x:c r="D521" s="12" t="n">
        <x:v>0</x:v>
      </x:c>
      <x:c r="E521" s="13" t="n">
        <x:v>51</x:v>
      </x:c>
    </x:row>
    <x:row r="522">
      <x:c r="A522" s="2" t="str">
        <x:v>ladrillos colombia</x:v>
      </x:c>
      <x:c r="B522" s="11" t="n">
        <x:v>0</x:v>
      </x:c>
      <x:c r="C522" s="11" t="n">
        <x:v>1</x:v>
      </x:c>
      <x:c r="D522" s="12" t="n">
        <x:v>0</x:v>
      </x:c>
      <x:c r="E522" s="13" t="n">
        <x:v>51</x:v>
      </x:c>
    </x:row>
    <x:row r="523">
      <x:c r="A523" s="2" t="str">
        <x:v>teja de barro española</x:v>
      </x:c>
      <x:c r="B523" s="11" t="n">
        <x:v>0</x:v>
      </x:c>
      <x:c r="C523" s="11" t="n">
        <x:v>1</x:v>
      </x:c>
      <x:c r="D523" s="12" t="n">
        <x:v>0</x:v>
      </x:c>
      <x:c r="E523" s="13" t="n">
        <x:v>51</x:v>
      </x:c>
    </x:row>
    <x:row r="524">
      <x:c r="A524" s="2" t="str">
        <x:v>ladrillos para fachadas</x:v>
      </x:c>
      <x:c r="B524" s="11" t="n">
        <x:v>0</x:v>
      </x:c>
      <x:c r="C524" s="11" t="n">
        <x:v>1</x:v>
      </x:c>
      <x:c r="D524" s="12" t="n">
        <x:v>0</x:v>
      </x:c>
      <x:c r="E524" s="13" t="n">
        <x:v>55</x:v>
      </x:c>
    </x:row>
    <x:row r="525">
      <x:c r="A525" s="2" t="str">
        <x:v>ladrillo colombia</x:v>
      </x:c>
      <x:c r="B525" s="11" t="n">
        <x:v>0</x:v>
      </x:c>
      <x:c r="C525" s="11" t="n">
        <x:v>1</x:v>
      </x:c>
      <x:c r="D525" s="12" t="n">
        <x:v>0</x:v>
      </x:c>
      <x:c r="E525" s="13" t="n">
        <x:v>56</x:v>
      </x:c>
    </x:row>
    <x:row r="526">
      <x:c r="A526" s="2" t="str">
        <x:v>tejas s</x:v>
      </x:c>
      <x:c r="B526" s="11" t="n">
        <x:v>0</x:v>
      </x:c>
      <x:c r="C526" s="11" t="n">
        <x:v>1</x:v>
      </x:c>
      <x:c r="D526" s="12" t="n">
        <x:v>0</x:v>
      </x:c>
      <x:c r="E526" s="13" t="n">
        <x:v>58</x:v>
      </x:c>
    </x:row>
    <x:row r="527">
      <x:c r="A527" s="2" t="str">
        <x:v>ladrilleras medellin precios</x:v>
      </x:c>
      <x:c r="B527" s="11" t="n">
        <x:v>0</x:v>
      </x:c>
      <x:c r="C527" s="11" t="n">
        <x:v>1</x:v>
      </x:c>
      <x:c r="D527" s="12" t="n">
        <x:v>0</x:v>
      </x:c>
      <x:c r="E527" s="13" t="n">
        <x:v>59</x:v>
      </x:c>
    </x:row>
    <x:row r="528">
      <x:c r="A528" s="2" t="str">
        <x:v>ntc 4205</x:v>
      </x:c>
      <x:c r="B528" s="11" t="n">
        <x:v>0</x:v>
      </x:c>
      <x:c r="C528" s="11" t="n">
        <x:v>1</x:v>
      </x:c>
      <x:c r="D528" s="12" t="n">
        <x:v>0</x:v>
      </x:c>
      <x:c r="E528" s="13" t="n">
        <x:v>59</x:v>
      </x:c>
    </x:row>
    <x:row r="529">
      <x:c r="A529" s="2" t="str">
        <x:v>ladrilleras en medellín</x:v>
      </x:c>
      <x:c r="B529" s="11" t="n">
        <x:v>0</x:v>
      </x:c>
      <x:c r="C529" s="11" t="n">
        <x:v>1</x:v>
      </x:c>
      <x:c r="D529" s="12" t="n">
        <x:v>0</x:v>
      </x:c>
      <x:c r="E529" s="13" t="n">
        <x:v>61</x:v>
      </x:c>
    </x:row>
    <x:row r="530">
      <x:c r="A530" s="2" t="str">
        <x:v>casa del ladrillo</x:v>
      </x:c>
      <x:c r="B530" s="11" t="n">
        <x:v>0</x:v>
      </x:c>
      <x:c r="C530" s="11" t="n">
        <x:v>1</x:v>
      </x:c>
      <x:c r="D530" s="12" t="n">
        <x:v>0</x:v>
      </x:c>
      <x:c r="E530" s="13" t="n">
        <x:v>62</x:v>
      </x:c>
    </x:row>
    <x:row r="531">
      <x:c r="A531" s="2" t="str">
        <x:v>casa arcilla</x:v>
      </x:c>
      <x:c r="B531" s="11" t="n">
        <x:v>0</x:v>
      </x:c>
      <x:c r="C531" s="11" t="n">
        <x:v>1</x:v>
      </x:c>
      <x:c r="D531" s="12" t="n">
        <x:v>0</x:v>
      </x:c>
      <x:c r="E531" s="13" t="n">
        <x:v>64</x:v>
      </x:c>
    </x:row>
    <x:row r="532">
      <x:c r="A532" s="2" t="str">
        <x:v>enchapes para baños</x:v>
      </x:c>
      <x:c r="B532" s="11" t="n">
        <x:v>0</x:v>
      </x:c>
      <x:c r="C532" s="11" t="n">
        <x:v>1</x:v>
      </x:c>
      <x:c r="D532" s="12" t="n">
        <x:v>0</x:v>
      </x:c>
      <x:c r="E532" s="13" t="n">
        <x:v>84</x:v>
      </x:c>
    </x:row>
    <x:row r="533">
      <x:c r="A533" s="2" t="str">
        <x:v>enchapes para baño</x:v>
      </x:c>
      <x:c r="B533" s="11" t="n">
        <x:v>0</x:v>
      </x:c>
      <x:c r="C533" s="11" t="n">
        <x:v>1</x:v>
      </x:c>
      <x:c r="D533" s="12" t="n">
        <x:v>0</x:v>
      </x:c>
      <x:c r="E533" s="13" t="n">
        <x:v>93</x:v>
      </x:c>
    </x:row>
  </x:sheetData>
  <x:pageMargins left="0.7" right="0.7" top="0.75" bottom="0.75" header="0.3" footer="0.3"/>
  <x:tableParts count="1">
    <x:tablePart xmlns:r="http://schemas.openxmlformats.org/officeDocument/2006/relationships" r:id="R60cfe8e7c0c94c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3.6700000762939453" hidden="0" customWidth="1"/>
    <x:col min="3" max="3" width="8.5600004196167" hidden="0" customWidth="1"/>
    <x:col min="4" max="4" width="5" hidden="0" customWidth="1"/>
    <x:col min="5" max="5" width="6.110000133514404" hidden="0" customWidth="1"/>
  </x:cols>
  <x:sheetData>
    <x:row r="1">
      <x:c r="A1" s="8" t="str">
        <x:v>Páginas principales</x:v>
      </x:c>
      <x:c r="B1" s="9" t="str">
        <x:v>Clics</x:v>
      </x:c>
      <x:c r="C1" s="9" t="str">
        <x:v>Impresiones</x:v>
      </x:c>
      <x:c r="D1" s="9" t="str">
        <x:v>CTR</x:v>
      </x:c>
      <x:c r="E1" s="10" t="str">
        <x:v>Posición</x:v>
      </x:c>
    </x:row>
    <x:row r="2">
      <x:c r="A2" s="2" t="str">
        <x:v>https://clayhouse.com.co/</x:v>
      </x:c>
      <x:c r="B2" s="11" t="n">
        <x:v>179</x:v>
      </x:c>
      <x:c r="C2" s="11" t="n">
        <x:v>2101</x:v>
      </x:c>
      <x:c r="D2" s="12" t="n">
        <x:v>0.0852</x:v>
      </x:c>
      <x:c r="E2" s="13" t="n">
        <x:v>6.42</x:v>
      </x:c>
    </x:row>
    <x:row r="3">
      <x:c r="A3" s="2" t="str">
        <x:v>https://clayhouse.com.co/productos/teja-colonial</x:v>
      </x:c>
      <x:c r="B3" s="11" t="n">
        <x:v>65</x:v>
      </x:c>
      <x:c r="C3" s="11" t="n">
        <x:v>4456</x:v>
      </x:c>
      <x:c r="D3" s="12" t="n">
        <x:v>0.0146</x:v>
      </x:c>
      <x:c r="E3" s="13" t="n">
        <x:v>6.54</x:v>
      </x:c>
    </x:row>
    <x:row r="4">
      <x:c r="A4" s="2" t="str">
        <x:v>https://clayhouse.com.co/productos</x:v>
      </x:c>
      <x:c r="B4" s="11" t="n">
        <x:v>28</x:v>
      </x:c>
      <x:c r="C4" s="11" t="n">
        <x:v>947</x:v>
      </x:c>
      <x:c r="D4" s="12" t="n">
        <x:v>0.0296</x:v>
      </x:c>
      <x:c r="E4" s="13" t="n">
        <x:v>5.48</x:v>
      </x:c>
    </x:row>
    <x:row r="5">
      <x:c r="A5" s="2" t="str">
        <x:v>https://clayhouse.com.co/productos/romano</x:v>
      </x:c>
      <x:c r="B5" s="11" t="n">
        <x:v>26</x:v>
      </x:c>
      <x:c r="C5" s="11" t="n">
        <x:v>1057</x:v>
      </x:c>
      <x:c r="D5" s="12" t="n">
        <x:v>0.0246</x:v>
      </x:c>
      <x:c r="E5" s="13" t="n">
        <x:v>4.9</x:v>
      </x:c>
    </x:row>
    <x:row r="6">
      <x:c r="A6" s="2" t="str">
        <x:v>https://clayhouse.com.co/comprar-ladrillo-medellin</x:v>
      </x:c>
      <x:c r="B6" s="11" t="n">
        <x:v>24</x:v>
      </x:c>
      <x:c r="C6" s="11" t="n">
        <x:v>801</x:v>
      </x:c>
      <x:c r="D6" s="12" t="n">
        <x:v>0.03</x:v>
      </x:c>
      <x:c r="E6" s="13" t="n">
        <x:v>7.96</x:v>
      </x:c>
    </x:row>
    <x:row r="7">
      <x:c r="A7" s="2" t="str">
        <x:v>https://clayhouse.com.co/productos/teja-plana</x:v>
      </x:c>
      <x:c r="B7" s="11" t="n">
        <x:v>24</x:v>
      </x:c>
      <x:c r="C7" s="11" t="n">
        <x:v>739</x:v>
      </x:c>
      <x:c r="D7" s="12" t="n">
        <x:v>0.0325</x:v>
      </x:c>
      <x:c r="E7" s="13" t="n">
        <x:v>8.82</x:v>
      </x:c>
    </x:row>
    <x:row r="8">
      <x:c r="A8" s="2" t="str">
        <x:v>https://clayhouse.com.co/nosotros</x:v>
      </x:c>
      <x:c r="B8" s="11" t="n">
        <x:v>23</x:v>
      </x:c>
      <x:c r="C8" s="11" t="n">
        <x:v>653</x:v>
      </x:c>
      <x:c r="D8" s="12" t="n">
        <x:v>0.0352</x:v>
      </x:c>
      <x:c r="E8" s="13" t="n">
        <x:v>3.51</x:v>
      </x:c>
    </x:row>
    <x:row r="9">
      <x:c r="A9" s="2" t="str">
        <x:v>https://clayhouse.com.co/productos/piso-10x30</x:v>
      </x:c>
      <x:c r="B9" s="11" t="n">
        <x:v>18</x:v>
      </x:c>
      <x:c r="C9" s="11" t="n">
        <x:v>242</x:v>
      </x:c>
      <x:c r="D9" s="12" t="n">
        <x:v>0.07440000000000001</x:v>
      </x:c>
      <x:c r="E9" s="13" t="n">
        <x:v>7.45</x:v>
      </x:c>
    </x:row>
    <x:row r="10">
      <x:c r="A10" s="2" t="str">
        <x:v>https://clayhouse.com.co/productos/categoria/fachadas</x:v>
      </x:c>
      <x:c r="B10" s="11" t="n">
        <x:v>17</x:v>
      </x:c>
      <x:c r="C10" s="11" t="n">
        <x:v>1565</x:v>
      </x:c>
      <x:c r="D10" s="12" t="n">
        <x:v>0.0109</x:v>
      </x:c>
      <x:c r="E10" s="13" t="n">
        <x:v>8.54</x:v>
      </x:c>
    </x:row>
    <x:row r="11">
      <x:c r="A11" s="2" t="str">
        <x:v>https://clayhouse.com.co/productos/macizo-campesino</x:v>
      </x:c>
      <x:c r="B11" s="11" t="n">
        <x:v>15</x:v>
      </x:c>
      <x:c r="C11" s="11" t="n">
        <x:v>270</x:v>
      </x:c>
      <x:c r="D11" s="12" t="n">
        <x:v>0.0556</x:v>
      </x:c>
      <x:c r="E11" s="13" t="n">
        <x:v>8.26</x:v>
      </x:c>
    </x:row>
    <x:row r="12">
      <x:c r="A12" s="2" t="str">
        <x:v>https://clayhouse.com.co/productos/cartagena</x:v>
      </x:c>
      <x:c r="B12" s="11" t="n">
        <x:v>14</x:v>
      </x:c>
      <x:c r="C12" s="11" t="n">
        <x:v>347</x:v>
      </x:c>
      <x:c r="D12" s="12" t="n">
        <x:v>0.0403</x:v>
      </x:c>
      <x:c r="E12" s="13" t="n">
        <x:v>6.41</x:v>
      </x:c>
    </x:row>
    <x:row r="13">
      <x:c r="A13" s="2" t="str">
        <x:v>https://clayhouse.com.co/productos/enchape-romano</x:v>
      </x:c>
      <x:c r="B13" s="11" t="n">
        <x:v>9</x:v>
      </x:c>
      <x:c r="C13" s="11" t="n">
        <x:v>629</x:v>
      </x:c>
      <x:c r="D13" s="12" t="n">
        <x:v>0.0143</x:v>
      </x:c>
      <x:c r="E13" s="13" t="n">
        <x:v>5.12</x:v>
      </x:c>
    </x:row>
    <x:row r="14">
      <x:c r="A14" s="2" t="str">
        <x:v>https://clayhouse.com.co/contacto</x:v>
      </x:c>
      <x:c r="B14" s="11" t="n">
        <x:v>9</x:v>
      </x:c>
      <x:c r="C14" s="11" t="n">
        <x:v>575</x:v>
      </x:c>
      <x:c r="D14" s="12" t="n">
        <x:v>0.015700000000000002</x:v>
      </x:c>
      <x:c r="E14" s="13" t="n">
        <x:v>3.62</x:v>
      </x:c>
    </x:row>
    <x:row r="15">
      <x:c r="A15" s="2" t="str">
        <x:v>https://clayhouse.com.co/productos/piso-30x30</x:v>
      </x:c>
      <x:c r="B15" s="11" t="n">
        <x:v>7</x:v>
      </x:c>
      <x:c r="C15" s="11" t="n">
        <x:v>160</x:v>
      </x:c>
      <x:c r="D15" s="12" t="n">
        <x:v>0.0438</x:v>
      </x:c>
      <x:c r="E15" s="13" t="n">
        <x:v>8.88</x:v>
      </x:c>
    </x:row>
    <x:row r="16">
      <x:c r="A16" s="2" t="str">
        <x:v>https://clayhouse.com.co/productos/calado</x:v>
      </x:c>
      <x:c r="B16" s="11" t="n">
        <x:v>7</x:v>
      </x:c>
      <x:c r="C16" s="11" t="n">
        <x:v>100</x:v>
      </x:c>
      <x:c r="D16" s="12" t="n">
        <x:v>0.07</x:v>
      </x:c>
      <x:c r="E16" s="13" t="n">
        <x:v>6.06</x:v>
      </x:c>
    </x:row>
    <x:row r="17">
      <x:c r="A17" s="2" t="str">
        <x:v>https://clayhouse.com.co/descargas</x:v>
      </x:c>
      <x:c r="B17" s="11" t="n">
        <x:v>6</x:v>
      </x:c>
      <x:c r="C17" s="11" t="n">
        <x:v>404</x:v>
      </x:c>
      <x:c r="D17" s="12" t="n">
        <x:v>0.0149</x:v>
      </x:c>
      <x:c r="E17" s="13" t="n">
        <x:v>6.71</x:v>
      </x:c>
    </x:row>
    <x:row r="18">
      <x:c r="A18" s="2" t="str">
        <x:v>https://clayhouse.com.co/productos/rayados-verticales</x:v>
      </x:c>
      <x:c r="B18" s="11" t="n">
        <x:v>6</x:v>
      </x:c>
      <x:c r="C18" s="11" t="n">
        <x:v>384</x:v>
      </x:c>
      <x:c r="D18" s="12" t="n">
        <x:v>0.015600000000000001</x:v>
      </x:c>
      <x:c r="E18" s="13" t="n">
        <x:v>6.68</x:v>
      </x:c>
    </x:row>
    <x:row r="19">
      <x:c r="A19" s="2" t="str">
        <x:v>https://clayhouse.com.co/productos/categoria/fachadas/</x:v>
      </x:c>
      <x:c r="B19" s="11" t="n">
        <x:v>5</x:v>
      </x:c>
      <x:c r="C19" s="11" t="n">
        <x:v>218</x:v>
      </x:c>
      <x:c r="D19" s="12" t="n">
        <x:v>0.0229</x:v>
      </x:c>
      <x:c r="E19" s="13" t="n">
        <x:v>13.19</x:v>
      </x:c>
    </x:row>
    <x:row r="20">
      <x:c r="A20" s="2" t="str">
        <x:v>https://clayhouse.com.co/productos/categoria/techos</x:v>
      </x:c>
      <x:c r="B20" s="11" t="n">
        <x:v>5</x:v>
      </x:c>
      <x:c r="C20" s="11" t="n">
        <x:v>189</x:v>
      </x:c>
      <x:c r="D20" s="12" t="n">
        <x:v>0.0265</x:v>
      </x:c>
      <x:c r="E20" s="13" t="n">
        <x:v>10.85</x:v>
      </x:c>
    </x:row>
    <x:row r="21">
      <x:c r="A21" s="2" t="str">
        <x:v>https://clayhouse.com.co/productos/toscano</x:v>
      </x:c>
      <x:c r="B21" s="11" t="n">
        <x:v>5</x:v>
      </x:c>
      <x:c r="C21" s="11" t="n">
        <x:v>156</x:v>
      </x:c>
      <x:c r="D21" s="12" t="n">
        <x:v>0.0321</x:v>
      </x:c>
      <x:c r="E21" s="13" t="n">
        <x:v>5.12</x:v>
      </x:c>
    </x:row>
    <x:row r="22">
      <x:c r="A22" s="2" t="str">
        <x:v>https://clayhouse.com.co/productos/bocadillo-prensado</x:v>
      </x:c>
      <x:c r="B22" s="11" t="n">
        <x:v>4</x:v>
      </x:c>
      <x:c r="C22" s="11" t="n">
        <x:v>182</x:v>
      </x:c>
      <x:c r="D22" s="12" t="n">
        <x:v>0.022000000000000002</x:v>
      </x:c>
      <x:c r="E22" s="13" t="n">
        <x:v>7.18</x:v>
      </x:c>
    </x:row>
    <x:row r="23">
      <x:c r="A23" s="2" t="str">
        <x:v>https://clayhouse.com.co/productos/rayados-horizontales</x:v>
      </x:c>
      <x:c r="B23" s="11" t="n">
        <x:v>4</x:v>
      </x:c>
      <x:c r="C23" s="11" t="n">
        <x:v>180</x:v>
      </x:c>
      <x:c r="D23" s="12" t="n">
        <x:v>0.0222</x:v>
      </x:c>
      <x:c r="E23" s="13" t="n">
        <x:v>7.15</x:v>
      </x:c>
    </x:row>
    <x:row r="24">
      <x:c r="A24" s="2" t="str">
        <x:v>https://clayhouse.com.co/blog/especificacion-de-ladrillo-en-obra</x:v>
      </x:c>
      <x:c r="B24" s="11" t="n">
        <x:v>3</x:v>
      </x:c>
      <x:c r="C24" s="11" t="n">
        <x:v>82</x:v>
      </x:c>
      <x:c r="D24" s="12" t="n">
        <x:v>0.0366</x:v>
      </x:c>
      <x:c r="E24" s="13" t="n">
        <x:v>6.85</x:v>
      </x:c>
    </x:row>
    <x:row r="25">
      <x:c r="A25" s="2" t="str">
        <x:v>https://clayhouse.com.co/productos/macizo-brix</x:v>
      </x:c>
      <x:c r="B25" s="11" t="n">
        <x:v>3</x:v>
      </x:c>
      <x:c r="C25" s="11" t="n">
        <x:v>23</x:v>
      </x:c>
      <x:c r="D25" s="12" t="n">
        <x:v>0.1304</x:v>
      </x:c>
      <x:c r="E25" s="13" t="n">
        <x:v>8.22</x:v>
      </x:c>
    </x:row>
    <x:row r="26">
      <x:c r="A26" s="2" t="str">
        <x:v>https://clayhouse.com.co/productos/categoria/enchapes/</x:v>
      </x:c>
      <x:c r="B26" s="11" t="n">
        <x:v>2</x:v>
      </x:c>
      <x:c r="C26" s="11" t="n">
        <x:v>292</x:v>
      </x:c>
      <x:c r="D26" s="12" t="n">
        <x:v>0.0068000000000000005</x:v>
      </x:c>
      <x:c r="E26" s="13" t="n">
        <x:v>14.65</x:v>
      </x:c>
    </x:row>
    <x:row r="27">
      <x:c r="A27" s="2" t="str">
        <x:v>http://clayhouse.com.co/productos/</x:v>
      </x:c>
      <x:c r="B27" s="11" t="n">
        <x:v>2</x:v>
      </x:c>
      <x:c r="C27" s="11" t="n">
        <x:v>24</x:v>
      </x:c>
      <x:c r="D27" s="12" t="n">
        <x:v>0.0833</x:v>
      </x:c>
      <x:c r="E27" s="13" t="n">
        <x:v>4.75</x:v>
      </x:c>
    </x:row>
    <x:row r="28">
      <x:c r="A28" s="2" t="str">
        <x:v>https://clayhouse.com.co/images/products/teja-plana/ficha.pdf</x:v>
      </x:c>
      <x:c r="B28" s="11" t="n">
        <x:v>2</x:v>
      </x:c>
      <x:c r="C28" s="11" t="n">
        <x:v>24</x:v>
      </x:c>
      <x:c r="D28" s="12" t="n">
        <x:v>0.0833</x:v>
      </x:c>
      <x:c r="E28" s="13" t="n">
        <x:v>17.96</x:v>
      </x:c>
    </x:row>
    <x:row r="29">
      <x:c r="A29" s="2" t="str">
        <x:v>https://clayhouse.com.co/proyectos</x:v>
      </x:c>
      <x:c r="B29" s="11" t="n">
        <x:v>1</x:v>
      </x:c>
      <x:c r="C29" s="11" t="n">
        <x:v>314</x:v>
      </x:c>
      <x:c r="D29" s="12" t="n">
        <x:v>0.0032</x:v>
      </x:c>
      <x:c r="E29" s="13" t="n">
        <x:v>2.44</x:v>
      </x:c>
    </x:row>
    <x:row r="30">
      <x:c r="A30" s="2" t="str">
        <x:v>https://clayhouse.com.co/cotizacion</x:v>
      </x:c>
      <x:c r="B30" s="11" t="n">
        <x:v>1</x:v>
      </x:c>
      <x:c r="C30" s="11" t="n">
        <x:v>91</x:v>
      </x:c>
      <x:c r="D30" s="12" t="n">
        <x:v>0.011000000000000001</x:v>
      </x:c>
      <x:c r="E30" s="13" t="n">
        <x:v>4.3</x:v>
      </x:c>
    </x:row>
    <x:row r="31">
      <x:c r="A31" s="2" t="str">
        <x:v>https://clayhouse.com.co/resenas</x:v>
      </x:c>
      <x:c r="B31" s="11" t="n">
        <x:v>1</x:v>
      </x:c>
      <x:c r="C31" s="11" t="n">
        <x:v>62</x:v>
      </x:c>
      <x:c r="D31" s="12" t="n">
        <x:v>0.0161</x:v>
      </x:c>
      <x:c r="E31" s="13" t="n">
        <x:v>3.47</x:v>
      </x:c>
    </x:row>
    <x:row r="32">
      <x:c r="A32" s="2" t="str">
        <x:v>https://clayhouse.com.co/productos/categoria/enchapes</x:v>
      </x:c>
      <x:c r="B32" s="11" t="n">
        <x:v>1</x:v>
      </x:c>
      <x:c r="C32" s="11" t="n">
        <x:v>48</x:v>
      </x:c>
      <x:c r="D32" s="12" t="n">
        <x:v>0.0208</x:v>
      </x:c>
      <x:c r="E32" s="13" t="n">
        <x:v>11.04</x:v>
      </x:c>
    </x:row>
    <x:row r="33">
      <x:c r="A33" s="2" t="str">
        <x:v>https://clayhouse.com.co/productos/categoria/decorativos</x:v>
      </x:c>
      <x:c r="B33" s="11" t="n">
        <x:v>1</x:v>
      </x:c>
      <x:c r="C33" s="11" t="n">
        <x:v>34</x:v>
      </x:c>
      <x:c r="D33" s="12" t="n">
        <x:v>0.0294</x:v>
      </x:c>
      <x:c r="E33" s="13" t="n">
        <x:v>5.71</x:v>
      </x:c>
    </x:row>
    <x:row r="34">
      <x:c r="A34" s="2" t="str">
        <x:v>https://clayhouse.com.co/fachadas-rusticas/cartagena/</x:v>
      </x:c>
      <x:c r="B34" s="11" t="n">
        <x:v>1</x:v>
      </x:c>
      <x:c r="C34" s="11" t="n">
        <x:v>29</x:v>
      </x:c>
      <x:c r="D34" s="12" t="n">
        <x:v>0.0345</x:v>
      </x:c>
      <x:c r="E34" s="13" t="n">
        <x:v>7.24</x:v>
      </x:c>
    </x:row>
    <x:row r="35">
      <x:c r="A35" s="2" t="str">
        <x:v>https://clayhouse.com.co/productos/enchape-thinbrick</x:v>
      </x:c>
      <x:c r="B35" s="11" t="n">
        <x:v>1</x:v>
      </x:c>
      <x:c r="C35" s="11" t="n">
        <x:v>27</x:v>
      </x:c>
      <x:c r="D35" s="12" t="n">
        <x:v>0.037000000000000005</x:v>
      </x:c>
      <x:c r="E35" s="13" t="n">
        <x:v>4.63</x:v>
      </x:c>
    </x:row>
    <x:row r="36">
      <x:c r="A36" s="2" t="str">
        <x:v>https://clayhouse.com.co/blog/podcast-historia-del-ladrillo/</x:v>
      </x:c>
      <x:c r="B36" s="11" t="n">
        <x:v>1</x:v>
      </x:c>
      <x:c r="C36" s="11" t="n">
        <x:v>5</x:v>
      </x:c>
      <x:c r="D36" s="12" t="n">
        <x:v>0.2</x:v>
      </x:c>
      <x:c r="E36" s="13" t="n">
        <x:v>6</x:v>
      </x:c>
    </x:row>
    <x:row r="37">
      <x:c r="A37" s="2" t="str">
        <x:v>https://clayhouse.com.co/images/products/piso-30x30/ficha.pdf</x:v>
      </x:c>
      <x:c r="B37" s="11" t="n">
        <x:v>1</x:v>
      </x:c>
      <x:c r="C37" s="11" t="n">
        <x:v>5</x:v>
      </x:c>
      <x:c r="D37" s="12" t="n">
        <x:v>0.2</x:v>
      </x:c>
      <x:c r="E37" s="13" t="n">
        <x:v>6.2</x:v>
      </x:c>
    </x:row>
    <x:row r="38">
      <x:c r="A38" s="2" t="str">
        <x:v>https://clayhouse.com.co/productos/bloquelon</x:v>
      </x:c>
      <x:c r="B38" s="11" t="n">
        <x:v>0</x:v>
      </x:c>
      <x:c r="C38" s="11" t="n">
        <x:v>74</x:v>
      </x:c>
      <x:c r="D38" s="12" t="n">
        <x:v>0</x:v>
      </x:c>
      <x:c r="E38" s="13" t="n">
        <x:v>6.35</x:v>
      </x:c>
    </x:row>
    <x:row r="39">
      <x:c r="A39" s="2" t="str">
        <x:v>https://clayhouse.com.co/blog/podcast-historia-del-ladrillo</x:v>
      </x:c>
      <x:c r="B39" s="11" t="n">
        <x:v>0</x:v>
      </x:c>
      <x:c r="C39" s="11" t="n">
        <x:v>72</x:v>
      </x:c>
      <x:c r="D39" s="12" t="n">
        <x:v>0</x:v>
      </x:c>
      <x:c r="E39" s="13" t="n">
        <x:v>8.19</x:v>
      </x:c>
    </x:row>
    <x:row r="40">
      <x:c r="A40" s="2" t="str">
        <x:v>https://clayhouse.com.co/blog</x:v>
      </x:c>
      <x:c r="B40" s="11" t="n">
        <x:v>0</x:v>
      </x:c>
      <x:c r="C40" s="11" t="n">
        <x:v>60</x:v>
      </x:c>
      <x:c r="D40" s="12" t="n">
        <x:v>0</x:v>
      </x:c>
      <x:c r="E40" s="13" t="n">
        <x:v>4.93</x:v>
      </x:c>
    </x:row>
    <x:row r="41">
      <x:c r="A41" s="2" t="str">
        <x:v>https://clayhouse.com.co/productos/categoria/pisos/</x:v>
      </x:c>
      <x:c r="B41" s="11" t="n">
        <x:v>0</x:v>
      </x:c>
      <x:c r="C41" s="11" t="n">
        <x:v>49</x:v>
      </x:c>
      <x:c r="D41" s="12" t="n">
        <x:v>0</x:v>
      </x:c>
      <x:c r="E41" s="13" t="n">
        <x:v>5.12</x:v>
      </x:c>
    </x:row>
    <x:row r="42">
      <x:c r="A42" s="2" t="str">
        <x:v>https://clayhouse.com.co/privacidad</x:v>
      </x:c>
      <x:c r="B42" s="11" t="n">
        <x:v>0</x:v>
      </x:c>
      <x:c r="C42" s="11" t="n">
        <x:v>47</x:v>
      </x:c>
      <x:c r="D42" s="12" t="n">
        <x:v>0</x:v>
      </x:c>
      <x:c r="E42" s="13" t="n">
        <x:v>6</x:v>
      </x:c>
    </x:row>
    <x:row r="43">
      <x:c r="A43" s="2" t="str">
        <x:v>https://clayhouse.com.co/productos/bloquelon/</x:v>
      </x:c>
      <x:c r="B43" s="11" t="n">
        <x:v>0</x:v>
      </x:c>
      <x:c r="C43" s="11" t="n">
        <x:v>34</x:v>
      </x:c>
      <x:c r="D43" s="12" t="n">
        <x:v>0</x:v>
      </x:c>
      <x:c r="E43" s="13" t="n">
        <x:v>5.15</x:v>
      </x:c>
    </x:row>
    <x:row r="44">
      <x:c r="A44" s="2" t="str">
        <x:v>https://clayhouse.com.co/blog/video-tradicion-y-futuro</x:v>
      </x:c>
      <x:c r="B44" s="11" t="n">
        <x:v>0</x:v>
      </x:c>
      <x:c r="C44" s="11" t="n">
        <x:v>26</x:v>
      </x:c>
      <x:c r="D44" s="12" t="n">
        <x:v>0</x:v>
      </x:c>
      <x:c r="E44" s="13" t="n">
        <x:v>5.5</x:v>
      </x:c>
    </x:row>
    <x:row r="45">
      <x:c r="A45" s="2" t="str">
        <x:v>https://clayhouse.com.co/productos/gran-formato-prensado/</x:v>
      </x:c>
      <x:c r="B45" s="11" t="n">
        <x:v>0</x:v>
      </x:c>
      <x:c r="C45" s="11" t="n">
        <x:v>25</x:v>
      </x:c>
      <x:c r="D45" s="12" t="n">
        <x:v>0</x:v>
      </x:c>
      <x:c r="E45" s="13" t="n">
        <x:v>8.08</x:v>
      </x:c>
    </x:row>
    <x:row r="46">
      <x:c r="A46" s="2" t="str">
        <x:v>https://clayhouse.com.co/blog/importancia-del-ladrillo-en-medellin</x:v>
      </x:c>
      <x:c r="B46" s="11" t="n">
        <x:v>0</x:v>
      </x:c>
      <x:c r="C46" s="11" t="n">
        <x:v>23</x:v>
      </x:c>
      <x:c r="D46" s="12" t="n">
        <x:v>0</x:v>
      </x:c>
      <x:c r="E46" s="13" t="n">
        <x:v>6.09</x:v>
      </x:c>
    </x:row>
    <x:row r="47">
      <x:c r="A47" s="2" t="str">
        <x:v>https://clayhouse.com.co/images/products/enchape-romano/ficha.pdf</x:v>
      </x:c>
      <x:c r="B47" s="11" t="n">
        <x:v>0</x:v>
      </x:c>
      <x:c r="C47" s="11" t="n">
        <x:v>15</x:v>
      </x:c>
      <x:c r="D47" s="12" t="n">
        <x:v>0</x:v>
      </x:c>
      <x:c r="E47" s="13" t="n">
        <x:v>8.07</x:v>
      </x:c>
    </x:row>
    <x:row r="48">
      <x:c r="A48" s="2" t="str">
        <x:v>https://clayhouse.com.co/productos/categoria/techos/</x:v>
      </x:c>
      <x:c r="B48" s="11" t="n">
        <x:v>0</x:v>
      </x:c>
      <x:c r="C48" s="11" t="n">
        <x:v>15</x:v>
      </x:c>
      <x:c r="D48" s="12" t="n">
        <x:v>0</x:v>
      </x:c>
      <x:c r="E48" s="13" t="n">
        <x:v>34.27</x:v>
      </x:c>
    </x:row>
    <x:row r="49">
      <x:c r="A49" s="2" t="str">
        <x:v>https://clayhouse.com.co/images/products/napolitano/ficha.pdf</x:v>
      </x:c>
      <x:c r="B49" s="11" t="n">
        <x:v>0</x:v>
      </x:c>
      <x:c r="C49" s="11" t="n">
        <x:v>14</x:v>
      </x:c>
      <x:c r="D49" s="12" t="n">
        <x:v>0</x:v>
      </x:c>
      <x:c r="E49" s="13" t="n">
        <x:v>8.14</x:v>
      </x:c>
    </x:row>
    <x:row r="50">
      <x:c r="A50" s="2" t="str">
        <x:v>https://clayhouse.com.co/images/products/romano/ficha.pdf</x:v>
      </x:c>
      <x:c r="B50" s="11" t="n">
        <x:v>0</x:v>
      </x:c>
      <x:c r="C50" s="11" t="n">
        <x:v>13</x:v>
      </x:c>
      <x:c r="D50" s="12" t="n">
        <x:v>0</x:v>
      </x:c>
      <x:c r="E50" s="13" t="n">
        <x:v>6.46</x:v>
      </x:c>
    </x:row>
    <x:row r="51">
      <x:c r="A51" s="2" t="str">
        <x:v>https://clayhouse.com.co/images/products/piso-10x30/ficha.pdf</x:v>
      </x:c>
      <x:c r="B51" s="11" t="n">
        <x:v>0</x:v>
      </x:c>
      <x:c r="C51" s="11" t="n">
        <x:v>10</x:v>
      </x:c>
      <x:c r="D51" s="12" t="n">
        <x:v>0</x:v>
      </x:c>
      <x:c r="E51" s="13" t="n">
        <x:v>8.6</x:v>
      </x:c>
    </x:row>
    <x:row r="52">
      <x:c r="A52" s="2" t="str">
        <x:v>https://clayhouse.com.co/images/products/rayados-verticales/ficha.pdf</x:v>
      </x:c>
      <x:c r="B52" s="11" t="n">
        <x:v>0</x:v>
      </x:c>
      <x:c r="C52" s="11" t="n">
        <x:v>9</x:v>
      </x:c>
      <x:c r="D52" s="12" t="n">
        <x:v>0</x:v>
      </x:c>
      <x:c r="E52" s="13" t="n">
        <x:v>12.44</x:v>
      </x:c>
    </x:row>
    <x:row r="53">
      <x:c r="A53" s="2" t="str">
        <x:v>https://clayhouse.com.co/images/products/macizo-brix/ficha.pdf</x:v>
      </x:c>
      <x:c r="B53" s="11" t="n">
        <x:v>0</x:v>
      </x:c>
      <x:c r="C53" s="11" t="n">
        <x:v>9</x:v>
      </x:c>
      <x:c r="D53" s="12" t="n">
        <x:v>0</x:v>
      </x:c>
      <x:c r="E53" s="13" t="n">
        <x:v>14.89</x:v>
      </x:c>
    </x:row>
    <x:row r="54">
      <x:c r="A54" s="2" t="str">
        <x:v>https://clayhouse.com.co/downloads/Manual de Fachadas Clay House.pdf</x:v>
      </x:c>
      <x:c r="B54" s="11" t="n">
        <x:v>0</x:v>
      </x:c>
      <x:c r="C54" s="11" t="n">
        <x:v>7</x:v>
      </x:c>
      <x:c r="D54" s="12" t="n">
        <x:v>0</x:v>
      </x:c>
      <x:c r="E54" s="13" t="n">
        <x:v>2.43</x:v>
      </x:c>
    </x:row>
    <x:row r="55">
      <x:c r="A55" s="2" t="str">
        <x:v>https://clayhouse.com.co/productos/cartagena/</x:v>
      </x:c>
      <x:c r="B55" s="11" t="n">
        <x:v>0</x:v>
      </x:c>
      <x:c r="C55" s="11" t="n">
        <x:v>7</x:v>
      </x:c>
      <x:c r="D55" s="12" t="n">
        <x:v>0</x:v>
      </x:c>
      <x:c r="E55" s="13" t="n">
        <x:v>9</x:v>
      </x:c>
    </x:row>
    <x:row r="56">
      <x:c r="A56" s="2" t="str">
        <x:v>https://clayhouse.com.co/politicas-de-privacidad-y-tratamiento-de-datos/</x:v>
      </x:c>
      <x:c r="B56" s="11" t="n">
        <x:v>0</x:v>
      </x:c>
      <x:c r="C56" s="11" t="n">
        <x:v>4</x:v>
      </x:c>
      <x:c r="D56" s="12" t="n">
        <x:v>0</x:v>
      </x:c>
      <x:c r="E56" s="13" t="n">
        <x:v>3.5</x:v>
      </x:c>
    </x:row>
    <x:row r="57">
      <x:c r="A57" s="2" t="str">
        <x:v>https://clayhouse.com.co/devoluciones</x:v>
      </x:c>
      <x:c r="B57" s="11" t="n">
        <x:v>0</x:v>
      </x:c>
      <x:c r="C57" s="11" t="n">
        <x:v>4</x:v>
      </x:c>
      <x:c r="D57" s="12" t="n">
        <x:v>0</x:v>
      </x:c>
      <x:c r="E57" s="13" t="n">
        <x:v>3.75</x:v>
      </x:c>
    </x:row>
    <x:row r="58">
      <x:c r="A58" s="2" t="str">
        <x:v>https://clayhouse.com.co/productos/piso-30x30/</x:v>
      </x:c>
      <x:c r="B58" s="11" t="n">
        <x:v>0</x:v>
      </x:c>
      <x:c r="C58" s="11" t="n">
        <x:v>4</x:v>
      </x:c>
      <x:c r="D58" s="12" t="n">
        <x:v>0</x:v>
      </x:c>
      <x:c r="E58" s="13" t="n">
        <x:v>8.25</x:v>
      </x:c>
    </x:row>
    <x:row r="59">
      <x:c r="A59" s="2" t="str">
        <x:v>https://clayhouse.com.co/productos/categoria/divisorios/</x:v>
      </x:c>
      <x:c r="B59" s="11" t="n">
        <x:v>0</x:v>
      </x:c>
      <x:c r="C59" s="11" t="n">
        <x:v>4</x:v>
      </x:c>
      <x:c r="D59" s="12" t="n">
        <x:v>0</x:v>
      </x:c>
      <x:c r="E59" s="13" t="n">
        <x:v>13.75</x:v>
      </x:c>
    </x:row>
    <x:row r="60">
      <x:c r="A60" s="2" t="str">
        <x:v>https://clayhouse.com.co/images/products/rayados-horizontales/ficha.pdf</x:v>
      </x:c>
      <x:c r="B60" s="11" t="n">
        <x:v>0</x:v>
      </x:c>
      <x:c r="C60" s="11" t="n">
        <x:v>3</x:v>
      </x:c>
      <x:c r="D60" s="12" t="n">
        <x:v>0</x:v>
      </x:c>
      <x:c r="E60" s="13" t="n">
        <x:v>13.67</x:v>
      </x:c>
    </x:row>
    <x:row r="61">
      <x:c r="A61" s="2" t="str">
        <x:v>https://clayhouse.com.co/images/products/enchape-rustico/ficha.pdf</x:v>
      </x:c>
      <x:c r="B61" s="11" t="n">
        <x:v>0</x:v>
      </x:c>
      <x:c r="C61" s="11" t="n">
        <x:v>3</x:v>
      </x:c>
      <x:c r="D61" s="12" t="n">
        <x:v>0</x:v>
      </x:c>
      <x:c r="E61" s="13" t="n">
        <x:v>15.67</x:v>
      </x:c>
    </x:row>
    <x:row r="62">
      <x:c r="A62" s="2" t="str">
        <x:v>https://clayhouse.com.co/ladrillos-en-colombia-historia-tipos-y-tendencias-actuales/</x:v>
      </x:c>
      <x:c r="B62" s="11" t="n">
        <x:v>0</x:v>
      </x:c>
      <x:c r="C62" s="11" t="n">
        <x:v>2</x:v>
      </x:c>
      <x:c r="D62" s="12" t="n">
        <x:v>0</x:v>
      </x:c>
      <x:c r="E62" s="13" t="n">
        <x:v>3</x:v>
      </x:c>
    </x:row>
    <x:row r="63">
      <x:c r="A63" s="2" t="str">
        <x:v>https://clayhouse.com.co/productos/macizo-brix/</x:v>
      </x:c>
      <x:c r="B63" s="11" t="n">
        <x:v>0</x:v>
      </x:c>
      <x:c r="C63" s="11" t="n">
        <x:v>2</x:v>
      </x:c>
      <x:c r="D63" s="12" t="n">
        <x:v>0</x:v>
      </x:c>
      <x:c r="E63" s="13" t="n">
        <x:v>5.5</x:v>
      </x:c>
    </x:row>
    <x:row r="64">
      <x:c r="A64" s="2" t="str">
        <x:v>https://clayhouse.com.co/contacto/gracias/</x:v>
      </x:c>
      <x:c r="B64" s="11" t="n">
        <x:v>0</x:v>
      </x:c>
      <x:c r="C64" s="11" t="n">
        <x:v>2</x:v>
      </x:c>
      <x:c r="D64" s="12" t="n">
        <x:v>0</x:v>
      </x:c>
      <x:c r="E64" s="13" t="n">
        <x:v>10</x:v>
      </x:c>
    </x:row>
    <x:row r="65">
      <x:c r="A65" s="2" t="str">
        <x:v>https://clayhouse.com.co/images/products/toscano/ficha.pdf?v=c69aa586</x:v>
      </x:c>
      <x:c r="B65" s="11" t="n">
        <x:v>0</x:v>
      </x:c>
      <x:c r="C65" s="11" t="n">
        <x:v>1</x:v>
      </x:c>
      <x:c r="D65" s="12" t="n">
        <x:v>0</x:v>
      </x:c>
      <x:c r="E65" s="13" t="n">
        <x:v>1</x:v>
      </x:c>
    </x:row>
    <x:row r="66">
      <x:c r="A66" s="2" t="str">
        <x:v>https://clayhouse.com.co/images/products/rayados-verticales/fichas/10.pdf?v=173a3180</x:v>
      </x:c>
      <x:c r="B66" s="11" t="n">
        <x:v>0</x:v>
      </x:c>
      <x:c r="C66" s="11" t="n">
        <x:v>1</x:v>
      </x:c>
      <x:c r="D66" s="12" t="n">
        <x:v>0</x:v>
      </x:c>
      <x:c r="E66" s="13" t="n">
        <x:v>3</x:v>
      </x:c>
    </x:row>
    <x:row r="67">
      <x:c r="A67" s="2" t="str">
        <x:v>https://clayhouse.com.co/diseno-y-construccion-de-fachadas?add-to-cart=480</x:v>
      </x:c>
      <x:c r="B67" s="11" t="n">
        <x:v>0</x:v>
      </x:c>
      <x:c r="C67" s="11" t="n">
        <x:v>1</x:v>
      </x:c>
      <x:c r="D67" s="12" t="n">
        <x:v>0</x:v>
      </x:c>
      <x:c r="E67" s="13" t="n">
        <x:v>4</x:v>
      </x:c>
    </x:row>
    <x:row r="68">
      <x:c r="A68" s="2" t="str">
        <x:v>https://clayhouse.com.co/images/products/rayados-verticales/fichas/15.pdf?v=8f6b62e8</x:v>
      </x:c>
      <x:c r="B68" s="11" t="n">
        <x:v>0</x:v>
      </x:c>
      <x:c r="C68" s="11" t="n">
        <x:v>1</x:v>
      </x:c>
      <x:c r="D68" s="12" t="n">
        <x:v>0</x:v>
      </x:c>
      <x:c r="E68" s="13" t="n">
        <x:v>9</x:v>
      </x:c>
    </x:row>
    <x:row r="69">
      <x:c r="A69" s="2" t="str">
        <x:v>https://clayhouse.com.co/blog/proyecto-casa-senderos</x:v>
      </x:c>
      <x:c r="B69" s="11" t="n">
        <x:v>0</x:v>
      </x:c>
      <x:c r="C69" s="11" t="n">
        <x:v>1</x:v>
      </x:c>
      <x:c r="D69" s="12" t="n">
        <x:v>0</x:v>
      </x:c>
      <x:c r="E69" s="13" t="n">
        <x:v>10</x:v>
      </x:c>
    </x:row>
    <x:row r="70">
      <x:c r="A70" s="2" t="str">
        <x:v>https://clayhouse.com.co/productos/?color=blanco-antiguo</x:v>
      </x:c>
      <x:c r="B70" s="11" t="n">
        <x:v>0</x:v>
      </x:c>
      <x:c r="C70" s="11" t="n">
        <x:v>1</x:v>
      </x:c>
      <x:c r="D70" s="12" t="n">
        <x:v>0</x:v>
      </x:c>
      <x:c r="E70" s="13" t="n">
        <x:v>10</x:v>
      </x:c>
    </x:row>
    <x:row r="71">
      <x:c r="A71" s="2" t="str">
        <x:v>https://clayhouse.com.co/images/products/romano/ficha.pdf?v=aa41706f</x:v>
      </x:c>
      <x:c r="B71" s="11" t="n">
        <x:v>0</x:v>
      </x:c>
      <x:c r="C71" s="11" t="n">
        <x:v>1</x:v>
      </x:c>
      <x:c r="D71" s="12" t="n">
        <x:v>0</x:v>
      </x:c>
      <x:c r="E71" s="13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37bc606ab611476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.6700000762939453" hidden="0" customWidth="1"/>
    <x:col min="3" max="3" width="8.5600004196167" hidden="0" customWidth="1"/>
    <x:col min="4" max="4" width="5" hidden="0" customWidth="1"/>
    <x:col min="5" max="5" width="6.110000133514404" hidden="0" customWidth="1"/>
  </x:cols>
  <x:sheetData>
    <x:row r="1">
      <x:c r="A1" s="8" t="str">
        <x:v>Fecha</x:v>
      </x:c>
      <x:c r="B1" s="9" t="str">
        <x:v>Clics</x:v>
      </x:c>
      <x:c r="C1" s="9" t="str">
        <x:v>Impresiones</x:v>
      </x:c>
      <x:c r="D1" s="9" t="str">
        <x:v>CTR</x:v>
      </x:c>
      <x:c r="E1" s="10" t="str">
        <x:v>Posición</x:v>
      </x:c>
      <x:c r="G1" s="16" t="str">
        <x:v>Fecha corta</x:v>
      </x:c>
      <x:c r="H1" s="16" t="str">
        <x:v>Clics</x:v>
      </x:c>
    </x:row>
    <x:row r="2">
      <x:c r="A2" s="14" t="d">
        <x:v>2026-07-20T00:00:00.000Z</x:v>
      </x:c>
      <x:c r="B2" s="11" t="n">
        <x:v>2</x:v>
      </x:c>
      <x:c r="C2" s="11" t="n">
        <x:v>33</x:v>
      </x:c>
      <x:c r="D2" s="12" t="n">
        <x:v>0.060599999999999994</x:v>
      </x:c>
      <x:c r="E2" s="13" t="n">
        <x:v>9.2</x:v>
      </x:c>
      <x:c r="G2" s="1" t="str">
        <x:v>20 de jul</x:v>
      </x:c>
      <x:c r="H2" s="17" t="n">
        <x:v>2</x:v>
      </x:c>
    </x:row>
    <x:row r="3">
      <x:c r="A3" s="14" t="d">
        <x:v>2026-07-21T00:00:00.000Z</x:v>
      </x:c>
      <x:c r="B3" s="11" t="n">
        <x:v>5</x:v>
      </x:c>
      <x:c r="C3" s="11" t="n">
        <x:v>62</x:v>
      </x:c>
      <x:c r="D3" s="12" t="n">
        <x:v>0.0806</x:v>
      </x:c>
      <x:c r="E3" s="13" t="n">
        <x:v>7.8</x:v>
      </x:c>
      <x:c r="G3" s="1" t="str">
        <x:v>21 de jul</x:v>
      </x:c>
      <x:c r="H3" s="17" t="n">
        <x:v>5</x:v>
      </x:c>
    </x:row>
    <x:row r="4">
      <x:c r="A4" s="14" t="d">
        <x:v>2026-07-22T00:00:00.000Z</x:v>
      </x:c>
      <x:c r="B4" s="11" t="n">
        <x:v>5</x:v>
      </x:c>
      <x:c r="C4" s="11" t="n">
        <x:v>62</x:v>
      </x:c>
      <x:c r="D4" s="12" t="n">
        <x:v>0.0806</x:v>
      </x:c>
      <x:c r="E4" s="13" t="n">
        <x:v>7.5</x:v>
      </x:c>
      <x:c r="G4" s="1" t="str">
        <x:v>22 de jul</x:v>
      </x:c>
      <x:c r="H4" s="17" t="n">
        <x:v>5</x:v>
      </x:c>
    </x:row>
    <x:row r="5">
      <x:c r="A5" s="14" t="d">
        <x:v>2026-07-23T00:00:00.000Z</x:v>
      </x:c>
      <x:c r="B5" s="11" t="n">
        <x:v>2</x:v>
      </x:c>
      <x:c r="C5" s="11" t="n">
        <x:v>68</x:v>
      </x:c>
      <x:c r="D5" s="12" t="n">
        <x:v>0.0294</x:v>
      </x:c>
      <x:c r="E5" s="13" t="n">
        <x:v>9.1</x:v>
      </x:c>
      <x:c r="G5" s="1" t="str">
        <x:v>23 de jul</x:v>
      </x:c>
      <x:c r="H5" s="17" t="n">
        <x:v>2</x:v>
      </x:c>
    </x:row>
    <x:row r="6">
      <x:c r="A6" s="14" t="d">
        <x:v>2026-07-24T00:00:00.000Z</x:v>
      </x:c>
      <x:c r="B6" s="11" t="n">
        <x:v>3</x:v>
      </x:c>
      <x:c r="C6" s="11" t="n">
        <x:v>64</x:v>
      </x:c>
      <x:c r="D6" s="12" t="n">
        <x:v>0.046900000000000004</x:v>
      </x:c>
      <x:c r="E6" s="13" t="n">
        <x:v>11</x:v>
      </x:c>
      <x:c r="G6" s="1" t="str">
        <x:v>24 de jul</x:v>
      </x:c>
      <x:c r="H6" s="17" t="n">
        <x:v>3</x:v>
      </x:c>
    </x:row>
    <x:row r="7">
      <x:c r="A7" s="14" t="d">
        <x:v>2026-07-25T00:00:00.000Z</x:v>
      </x:c>
      <x:c r="B7" s="11" t="n">
        <x:v>3</x:v>
      </x:c>
      <x:c r="C7" s="11" t="n">
        <x:v>44</x:v>
      </x:c>
      <x:c r="D7" s="12" t="n">
        <x:v>0.0682</x:v>
      </x:c>
      <x:c r="E7" s="13" t="n">
        <x:v>11.1</x:v>
      </x:c>
      <x:c r="G7" s="1" t="str">
        <x:v>25 de jul</x:v>
      </x:c>
      <x:c r="H7" s="17" t="n">
        <x:v>3</x:v>
      </x:c>
    </x:row>
    <x:row r="8">
      <x:c r="A8" s="14" t="d">
        <x:v>2026-07-26T00:00:00.000Z</x:v>
      </x:c>
      <x:c r="B8" s="11" t="n">
        <x:v>4</x:v>
      </x:c>
      <x:c r="C8" s="11" t="n">
        <x:v>40</x:v>
      </x:c>
      <x:c r="D8" s="12" t="n">
        <x:v>0.1</x:v>
      </x:c>
      <x:c r="E8" s="13" t="n">
        <x:v>9.7</x:v>
      </x:c>
      <x:c r="G8" s="1" t="str">
        <x:v>26 de jul</x:v>
      </x:c>
      <x:c r="H8" s="17" t="n">
        <x:v>4</x:v>
      </x:c>
    </x:row>
    <x:row r="9">
      <x:c r="A9" s="14" t="d">
        <x:v>2026-07-27T00:00:00.000Z</x:v>
      </x:c>
      <x:c r="B9" s="11" t="n">
        <x:v>3</x:v>
      </x:c>
      <x:c r="C9" s="11" t="n">
        <x:v>60</x:v>
      </x:c>
      <x:c r="D9" s="12" t="n">
        <x:v>0.05</x:v>
      </x:c>
      <x:c r="E9" s="13" t="n">
        <x:v>7.4</x:v>
      </x:c>
      <x:c r="G9" s="1" t="str">
        <x:v>27 de jul</x:v>
      </x:c>
      <x:c r="H9" s="17" t="n">
        <x:v>3</x:v>
      </x:c>
    </x:row>
    <x:row r="10">
      <x:c r="A10" s="14" t="d">
        <x:v>2026-07-28T00:00:00.000Z</x:v>
      </x:c>
      <x:c r="B10" s="11" t="n">
        <x:v>4</x:v>
      </x:c>
      <x:c r="C10" s="11" t="n">
        <x:v>71</x:v>
      </x:c>
      <x:c r="D10" s="12" t="n">
        <x:v>0.056299999999999996</x:v>
      </x:c>
      <x:c r="E10" s="13" t="n">
        <x:v>8</x:v>
      </x:c>
      <x:c r="G10" s="1" t="str">
        <x:v>28 de jul</x:v>
      </x:c>
      <x:c r="H10" s="17" t="n">
        <x:v>4</x:v>
      </x:c>
    </x:row>
    <x:row r="11">
      <x:c r="A11" s="14" t="d">
        <x:v>2026-07-29T00:00:00.000Z</x:v>
      </x:c>
      <x:c r="B11" s="11" t="n">
        <x:v>5</x:v>
      </x:c>
      <x:c r="C11" s="11" t="n">
        <x:v>74</x:v>
      </x:c>
      <x:c r="D11" s="12" t="n">
        <x:v>0.0676</x:v>
      </x:c>
      <x:c r="E11" s="13" t="n">
        <x:v>7</x:v>
      </x:c>
      <x:c r="G11" s="1" t="str">
        <x:v>29 de jul</x:v>
      </x:c>
      <x:c r="H11" s="17" t="n">
        <x:v>5</x:v>
      </x:c>
    </x:row>
    <x:row r="12">
      <x:c r="A12" s="14" t="d">
        <x:v>2026-07-30T00:00:00.000Z</x:v>
      </x:c>
      <x:c r="B12" s="11" t="n">
        <x:v>6</x:v>
      </x:c>
      <x:c r="C12" s="11" t="n">
        <x:v>68</x:v>
      </x:c>
      <x:c r="D12" s="12" t="n">
        <x:v>0.0882</x:v>
      </x:c>
      <x:c r="E12" s="13" t="n">
        <x:v>10.1</x:v>
      </x:c>
      <x:c r="G12" s="1" t="str">
        <x:v>30 de jul</x:v>
      </x:c>
      <x:c r="H12" s="17" t="n">
        <x:v>6</x:v>
      </x:c>
    </x:row>
    <x:row r="13">
      <x:c r="A13" s="14" t="d">
        <x:v>2026-07-31T00:00:00.000Z</x:v>
      </x:c>
      <x:c r="B13" s="11" t="n">
        <x:v>1</x:v>
      </x:c>
      <x:c r="C13" s="11" t="n">
        <x:v>53</x:v>
      </x:c>
      <x:c r="D13" s="12" t="n">
        <x:v>0.0189</x:v>
      </x:c>
      <x:c r="E13" s="13" t="n">
        <x:v>9.2</x:v>
      </x:c>
      <x:c r="G13" s="1" t="str">
        <x:v>31 de jul</x:v>
      </x:c>
      <x:c r="H13" s="17" t="n">
        <x:v>1</x:v>
      </x:c>
    </x:row>
    <x:row r="14">
      <x:c r="A14" s="14" t="d">
        <x:v>2026-08-01T00:00:00.000Z</x:v>
      </x:c>
      <x:c r="B14" s="11" t="n">
        <x:v>0</x:v>
      </x:c>
      <x:c r="C14" s="11" t="n">
        <x:v>52</x:v>
      </x:c>
      <x:c r="D14" s="12" t="n">
        <x:v>0</x:v>
      </x:c>
      <x:c r="E14" s="13" t="n">
        <x:v>13.9</x:v>
      </x:c>
      <x:c r="G14" s="1" t="str">
        <x:v>1 de ago</x:v>
      </x:c>
      <x:c r="H14" s="17" t="n">
        <x:v>0</x:v>
      </x:c>
    </x:row>
    <x:row r="15">
      <x:c r="A15" s="14" t="d">
        <x:v>2026-08-02T00:00:00.000Z</x:v>
      </x:c>
      <x:c r="B15" s="11" t="n">
        <x:v>2</x:v>
      </x:c>
      <x:c r="C15" s="11" t="n">
        <x:v>35</x:v>
      </x:c>
      <x:c r="D15" s="12" t="n">
        <x:v>0.0571</x:v>
      </x:c>
      <x:c r="E15" s="13" t="n">
        <x:v>11</x:v>
      </x:c>
      <x:c r="G15" s="1" t="str">
        <x:v>2 de ago</x:v>
      </x:c>
      <x:c r="H15" s="17" t="n">
        <x:v>2</x:v>
      </x:c>
    </x:row>
    <x:row r="16">
      <x:c r="A16" s="14" t="d">
        <x:v>2026-08-03T00:00:00.000Z</x:v>
      </x:c>
      <x:c r="B16" s="11" t="n">
        <x:v>0</x:v>
      </x:c>
      <x:c r="C16" s="11" t="n">
        <x:v>64</x:v>
      </x:c>
      <x:c r="D16" s="12" t="n">
        <x:v>0</x:v>
      </x:c>
      <x:c r="E16" s="13" t="n">
        <x:v>7.7</x:v>
      </x:c>
      <x:c r="G16" s="1" t="str">
        <x:v>3 de ago</x:v>
      </x:c>
      <x:c r="H16" s="17" t="n">
        <x:v>0</x:v>
      </x:c>
    </x:row>
    <x:row r="17">
      <x:c r="A17" s="14" t="d">
        <x:v>2026-08-04T00:00:00.000Z</x:v>
      </x:c>
      <x:c r="B17" s="11" t="n">
        <x:v>3</x:v>
      </x:c>
      <x:c r="C17" s="11" t="n">
        <x:v>59</x:v>
      </x:c>
      <x:c r="D17" s="12" t="n">
        <x:v>0.0508</x:v>
      </x:c>
      <x:c r="E17" s="13" t="n">
        <x:v>8.4</x:v>
      </x:c>
      <x:c r="G17" s="1" t="str">
        <x:v>4 de ago</x:v>
      </x:c>
      <x:c r="H17" s="17" t="n">
        <x:v>3</x:v>
      </x:c>
    </x:row>
    <x:row r="18">
      <x:c r="A18" s="14" t="d">
        <x:v>2026-08-05T00:00:00.000Z</x:v>
      </x:c>
      <x:c r="B18" s="11" t="n">
        <x:v>3</x:v>
      </x:c>
      <x:c r="C18" s="11" t="n">
        <x:v>79</x:v>
      </x:c>
      <x:c r="D18" s="12" t="n">
        <x:v>0.038</x:v>
      </x:c>
      <x:c r="E18" s="13" t="n">
        <x:v>8.9</x:v>
      </x:c>
      <x:c r="G18" s="1" t="str">
        <x:v>5 de ago</x:v>
      </x:c>
      <x:c r="H18" s="17" t="n">
        <x:v>3</x:v>
      </x:c>
    </x:row>
    <x:row r="19">
      <x:c r="A19" s="14" t="d">
        <x:v>2026-08-06T00:00:00.000Z</x:v>
      </x:c>
      <x:c r="B19" s="11" t="n">
        <x:v>1</x:v>
      </x:c>
      <x:c r="C19" s="11" t="n">
        <x:v>59</x:v>
      </x:c>
      <x:c r="D19" s="12" t="n">
        <x:v>0.0169</x:v>
      </x:c>
      <x:c r="E19" s="13" t="n">
        <x:v>10.4</x:v>
      </x:c>
      <x:c r="G19" s="1" t="str">
        <x:v>6 de ago</x:v>
      </x:c>
      <x:c r="H19" s="17" t="n">
        <x:v>1</x:v>
      </x:c>
    </x:row>
    <x:row r="20">
      <x:c r="A20" s="14" t="d">
        <x:v>2026-08-07T00:00:00.000Z</x:v>
      </x:c>
      <x:c r="B20" s="11" t="n">
        <x:v>0</x:v>
      </x:c>
      <x:c r="C20" s="11" t="n">
        <x:v>53</x:v>
      </x:c>
      <x:c r="D20" s="12" t="n">
        <x:v>0</x:v>
      </x:c>
      <x:c r="E20" s="13" t="n">
        <x:v>11.8</x:v>
      </x:c>
      <x:c r="G20" s="1" t="str">
        <x:v>7 de ago</x:v>
      </x:c>
      <x:c r="H20" s="17" t="n">
        <x:v>0</x:v>
      </x:c>
    </x:row>
    <x:row r="21">
      <x:c r="A21" s="14" t="d">
        <x:v>2026-08-08T00:00:00.000Z</x:v>
      </x:c>
      <x:c r="B21" s="11" t="n">
        <x:v>0</x:v>
      </x:c>
      <x:c r="C21" s="11" t="n">
        <x:v>39</x:v>
      </x:c>
      <x:c r="D21" s="12" t="n">
        <x:v>0</x:v>
      </x:c>
      <x:c r="E21" s="13" t="n">
        <x:v>9.2</x:v>
      </x:c>
      <x:c r="G21" s="1" t="str">
        <x:v>8 de ago</x:v>
      </x:c>
      <x:c r="H21" s="17" t="n">
        <x:v>0</x:v>
      </x:c>
    </x:row>
    <x:row r="22">
      <x:c r="A22" s="14" t="d">
        <x:v>2026-08-09T00:00:00.000Z</x:v>
      </x:c>
      <x:c r="B22" s="11" t="n">
        <x:v>4</x:v>
      </x:c>
      <x:c r="C22" s="11" t="n">
        <x:v>49</x:v>
      </x:c>
      <x:c r="D22" s="12" t="n">
        <x:v>0.0816</x:v>
      </x:c>
      <x:c r="E22" s="13" t="n">
        <x:v>9.6</x:v>
      </x:c>
      <x:c r="G22" s="1" t="str">
        <x:v>9 de ago</x:v>
      </x:c>
      <x:c r="H22" s="17" t="n">
        <x:v>4</x:v>
      </x:c>
    </x:row>
    <x:row r="23">
      <x:c r="A23" s="14" t="d">
        <x:v>2026-08-10T00:00:00.000Z</x:v>
      </x:c>
      <x:c r="B23" s="11" t="n">
        <x:v>3</x:v>
      </x:c>
      <x:c r="C23" s="11" t="n">
        <x:v>52</x:v>
      </x:c>
      <x:c r="D23" s="12" t="n">
        <x:v>0.057699999999999994</x:v>
      </x:c>
      <x:c r="E23" s="13" t="n">
        <x:v>10.8</x:v>
      </x:c>
      <x:c r="G23" s="1" t="str">
        <x:v>10 de ago</x:v>
      </x:c>
      <x:c r="H23" s="17" t="n">
        <x:v>3</x:v>
      </x:c>
    </x:row>
    <x:row r="24">
      <x:c r="A24" s="14" t="d">
        <x:v>2026-08-11T00:00:00.000Z</x:v>
      </x:c>
      <x:c r="B24" s="11" t="n">
        <x:v>6</x:v>
      </x:c>
      <x:c r="C24" s="11" t="n">
        <x:v>58</x:v>
      </x:c>
      <x:c r="D24" s="12" t="n">
        <x:v>0.10339999999999999</x:v>
      </x:c>
      <x:c r="E24" s="13" t="n">
        <x:v>9.9</x:v>
      </x:c>
      <x:c r="G24" s="1" t="str">
        <x:v>11 de ago</x:v>
      </x:c>
      <x:c r="H24" s="17" t="n">
        <x:v>6</x:v>
      </x:c>
    </x:row>
    <x:row r="25">
      <x:c r="A25" s="14" t="d">
        <x:v>2026-08-12T00:00:00.000Z</x:v>
      </x:c>
      <x:c r="B25" s="11" t="n">
        <x:v>8</x:v>
      </x:c>
      <x:c r="C25" s="11" t="n">
        <x:v>85</x:v>
      </x:c>
      <x:c r="D25" s="12" t="n">
        <x:v>0.0941</x:v>
      </x:c>
      <x:c r="E25" s="13" t="n">
        <x:v>11.8</x:v>
      </x:c>
      <x:c r="G25" s="1" t="str">
        <x:v>12 de ago</x:v>
      </x:c>
      <x:c r="H25" s="17" t="n">
        <x:v>8</x:v>
      </x:c>
    </x:row>
    <x:row r="26">
      <x:c r="A26" s="14" t="d">
        <x:v>2026-08-13T00:00:00.000Z</x:v>
      </x:c>
      <x:c r="B26" s="11" t="n">
        <x:v>4</x:v>
      </x:c>
      <x:c r="C26" s="11" t="n">
        <x:v>82</x:v>
      </x:c>
      <x:c r="D26" s="12" t="n">
        <x:v>0.048799999999999996</x:v>
      </x:c>
      <x:c r="E26" s="13" t="n">
        <x:v>11.8</x:v>
      </x:c>
      <x:c r="G26" s="1" t="str">
        <x:v>13 de ago</x:v>
      </x:c>
      <x:c r="H26" s="17" t="n">
        <x:v>4</x:v>
      </x:c>
    </x:row>
    <x:row r="27">
      <x:c r="A27" s="14" t="d">
        <x:v>2026-08-14T00:00:00.000Z</x:v>
      </x:c>
      <x:c r="B27" s="11" t="n">
        <x:v>0</x:v>
      </x:c>
      <x:c r="C27" s="11" t="n">
        <x:v>94</x:v>
      </x:c>
      <x:c r="D27" s="12" t="n">
        <x:v>0</x:v>
      </x:c>
      <x:c r="E27" s="13" t="n">
        <x:v>9.2</x:v>
      </x:c>
      <x:c r="G27" s="1" t="str">
        <x:v>14 de ago</x:v>
      </x:c>
      <x:c r="H27" s="17" t="n">
        <x:v>0</x:v>
      </x:c>
    </x:row>
    <x:row r="28">
      <x:c r="A28" s="14" t="d">
        <x:v>2026-08-15T00:00:00.000Z</x:v>
      </x:c>
      <x:c r="B28" s="11" t="n">
        <x:v>3</x:v>
      </x:c>
      <x:c r="C28" s="11" t="n">
        <x:v>78</x:v>
      </x:c>
      <x:c r="D28" s="12" t="n">
        <x:v>0.0385</x:v>
      </x:c>
      <x:c r="E28" s="13" t="n">
        <x:v>7.8</x:v>
      </x:c>
      <x:c r="G28" s="1" t="str">
        <x:v>15 de ago</x:v>
      </x:c>
      <x:c r="H28" s="17" t="n">
        <x:v>3</x:v>
      </x:c>
    </x:row>
    <x:row r="29">
      <x:c r="A29" s="14" t="d">
        <x:v>2026-08-16T00:00:00.000Z</x:v>
      </x:c>
      <x:c r="B29" s="11" t="n">
        <x:v>2</x:v>
      </x:c>
      <x:c r="C29" s="11" t="n">
        <x:v>35</x:v>
      </x:c>
      <x:c r="D29" s="12" t="n">
        <x:v>0.0571</x:v>
      </x:c>
      <x:c r="E29" s="13" t="n">
        <x:v>14.1</x:v>
      </x:c>
      <x:c r="G29" s="1" t="str">
        <x:v>16 de ago</x:v>
      </x:c>
      <x:c r="H29" s="17" t="n">
        <x:v>2</x:v>
      </x:c>
    </x:row>
    <x:row r="30">
      <x:c r="A30" s="14" t="d">
        <x:v>2026-08-17T00:00:00.000Z</x:v>
      </x:c>
      <x:c r="B30" s="11" t="n">
        <x:v>6</x:v>
      </x:c>
      <x:c r="C30" s="11" t="n">
        <x:v>76</x:v>
      </x:c>
      <x:c r="D30" s="12" t="n">
        <x:v>0.0789</x:v>
      </x:c>
      <x:c r="E30" s="13" t="n">
        <x:v>8.6</x:v>
      </x:c>
      <x:c r="G30" s="1" t="str">
        <x:v>17 de ago</x:v>
      </x:c>
      <x:c r="H30" s="17" t="n">
        <x:v>6</x:v>
      </x:c>
    </x:row>
    <x:row r="31">
      <x:c r="A31" s="14" t="d">
        <x:v>2026-08-18T00:00:00.000Z</x:v>
      </x:c>
      <x:c r="B31" s="11" t="n">
        <x:v>8</x:v>
      </x:c>
      <x:c r="C31" s="11" t="n">
        <x:v>115</x:v>
      </x:c>
      <x:c r="D31" s="12" t="n">
        <x:v>0.0696</x:v>
      </x:c>
      <x:c r="E31" s="13" t="n">
        <x:v>9.5</x:v>
      </x:c>
      <x:c r="G31" s="1" t="str">
        <x:v>18 de ago</x:v>
      </x:c>
      <x:c r="H31" s="17" t="n">
        <x:v>8</x:v>
      </x:c>
    </x:row>
    <x:row r="32">
      <x:c r="A32" s="14" t="d">
        <x:v>2026-08-19T00:00:00.000Z</x:v>
      </x:c>
      <x:c r="B32" s="11" t="n">
        <x:v>5</x:v>
      </x:c>
      <x:c r="C32" s="11" t="n">
        <x:v>100</x:v>
      </x:c>
      <x:c r="D32" s="12" t="n">
        <x:v>0.05</x:v>
      </x:c>
      <x:c r="E32" s="13" t="n">
        <x:v>11.1</x:v>
      </x:c>
      <x:c r="G32" s="1" t="str">
        <x:v>19 de ago</x:v>
      </x:c>
      <x:c r="H32" s="17" t="n">
        <x:v>5</x:v>
      </x:c>
    </x:row>
    <x:row r="33">
      <x:c r="A33" s="14" t="d">
        <x:v>2026-08-20T00:00:00.000Z</x:v>
      </x:c>
      <x:c r="B33" s="11" t="n">
        <x:v>4</x:v>
      </x:c>
      <x:c r="C33" s="11" t="n">
        <x:v>104</x:v>
      </x:c>
      <x:c r="D33" s="12" t="n">
        <x:v>0.0385</x:v>
      </x:c>
      <x:c r="E33" s="13" t="n">
        <x:v>13.3</x:v>
      </x:c>
      <x:c r="G33" s="1" t="str">
        <x:v>20 de ago</x:v>
      </x:c>
      <x:c r="H33" s="17" t="n">
        <x:v>4</x:v>
      </x:c>
    </x:row>
    <x:row r="34">
      <x:c r="A34" s="14" t="d">
        <x:v>2026-08-21T00:00:00.000Z</x:v>
      </x:c>
      <x:c r="B34" s="11" t="n">
        <x:v>1</x:v>
      </x:c>
      <x:c r="C34" s="11" t="n">
        <x:v>95</x:v>
      </x:c>
      <x:c r="D34" s="12" t="n">
        <x:v>0.0105</x:v>
      </x:c>
      <x:c r="E34" s="13" t="n">
        <x:v>7.5</x:v>
      </x:c>
      <x:c r="G34" s="1" t="str">
        <x:v>21 de ago</x:v>
      </x:c>
      <x:c r="H34" s="17" t="n">
        <x:v>1</x:v>
      </x:c>
    </x:row>
    <x:row r="35">
      <x:c r="A35" s="14" t="d">
        <x:v>2026-08-22T00:00:00.000Z</x:v>
      </x:c>
      <x:c r="B35" s="11" t="n">
        <x:v>3</x:v>
      </x:c>
      <x:c r="C35" s="11" t="n">
        <x:v>76</x:v>
      </x:c>
      <x:c r="D35" s="12" t="n">
        <x:v>0.0395</x:v>
      </x:c>
      <x:c r="E35" s="13" t="n">
        <x:v>8.6</x:v>
      </x:c>
      <x:c r="G35" s="1" t="str">
        <x:v>22 de ago</x:v>
      </x:c>
      <x:c r="H35" s="17" t="n">
        <x:v>3</x:v>
      </x:c>
    </x:row>
    <x:row r="36">
      <x:c r="A36" s="14" t="d">
        <x:v>2026-08-23T00:00:00.000Z</x:v>
      </x:c>
      <x:c r="B36" s="11" t="n">
        <x:v>2</x:v>
      </x:c>
      <x:c r="C36" s="11" t="n">
        <x:v>76</x:v>
      </x:c>
      <x:c r="D36" s="12" t="n">
        <x:v>0.0263</x:v>
      </x:c>
      <x:c r="E36" s="13" t="n">
        <x:v>10.4</x:v>
      </x:c>
      <x:c r="G36" s="1" t="str">
        <x:v>23 de ago</x:v>
      </x:c>
      <x:c r="H36" s="17" t="n">
        <x:v>2</x:v>
      </x:c>
    </x:row>
    <x:row r="37">
      <x:c r="A37" s="14" t="d">
        <x:v>2026-08-24T00:00:00.000Z</x:v>
      </x:c>
      <x:c r="B37" s="11" t="n">
        <x:v>4</x:v>
      </x:c>
      <x:c r="C37" s="11" t="n">
        <x:v>127</x:v>
      </x:c>
      <x:c r="D37" s="12" t="n">
        <x:v>0.0315</x:v>
      </x:c>
      <x:c r="E37" s="13" t="n">
        <x:v>7</x:v>
      </x:c>
      <x:c r="G37" s="1" t="str">
        <x:v>24 de ago</x:v>
      </x:c>
      <x:c r="H37" s="17" t="n">
        <x:v>4</x:v>
      </x:c>
    </x:row>
    <x:row r="38">
      <x:c r="A38" s="14" t="d">
        <x:v>2026-08-25T00:00:00.000Z</x:v>
      </x:c>
      <x:c r="B38" s="11" t="n">
        <x:v>7</x:v>
      </x:c>
      <x:c r="C38" s="11" t="n">
        <x:v>119</x:v>
      </x:c>
      <x:c r="D38" s="12" t="n">
        <x:v>0.0588</x:v>
      </x:c>
      <x:c r="E38" s="13" t="n">
        <x:v>7.7</x:v>
      </x:c>
      <x:c r="G38" s="1" t="str">
        <x:v>25 de ago</x:v>
      </x:c>
      <x:c r="H38" s="17" t="n">
        <x:v>7</x:v>
      </x:c>
    </x:row>
    <x:row r="39">
      <x:c r="A39" s="14" t="d">
        <x:v>2026-08-26T00:00:00.000Z</x:v>
      </x:c>
      <x:c r="B39" s="11" t="n">
        <x:v>6</x:v>
      </x:c>
      <x:c r="C39" s="11" t="n">
        <x:v>86</x:v>
      </x:c>
      <x:c r="D39" s="12" t="n">
        <x:v>0.0698</x:v>
      </x:c>
      <x:c r="E39" s="13" t="n">
        <x:v>8.3</x:v>
      </x:c>
      <x:c r="G39" s="1" t="str">
        <x:v>26 de ago</x:v>
      </x:c>
      <x:c r="H39" s="17" t="n">
        <x:v>6</x:v>
      </x:c>
    </x:row>
    <x:row r="40">
      <x:c r="A40" s="14" t="d">
        <x:v>2026-08-27T00:00:00.000Z</x:v>
      </x:c>
      <x:c r="B40" s="11" t="n">
        <x:v>7</x:v>
      </x:c>
      <x:c r="C40" s="11" t="n">
        <x:v>118</x:v>
      </x:c>
      <x:c r="D40" s="12" t="n">
        <x:v>0.0593</x:v>
      </x:c>
      <x:c r="E40" s="13" t="n">
        <x:v>7.8</x:v>
      </x:c>
      <x:c r="G40" s="1" t="str">
        <x:v>27 de ago</x:v>
      </x:c>
      <x:c r="H40" s="17" t="n">
        <x:v>7</x:v>
      </x:c>
    </x:row>
    <x:row r="41">
      <x:c r="A41" s="14" t="d">
        <x:v>2026-08-28T00:00:00.000Z</x:v>
      </x:c>
      <x:c r="B41" s="11" t="n">
        <x:v>5</x:v>
      </x:c>
      <x:c r="C41" s="11" t="n">
        <x:v>97</x:v>
      </x:c>
      <x:c r="D41" s="12" t="n">
        <x:v>0.051500000000000004</x:v>
      </x:c>
      <x:c r="E41" s="13" t="n">
        <x:v>8</x:v>
      </x:c>
      <x:c r="G41" s="1" t="str">
        <x:v>28 de ago</x:v>
      </x:c>
      <x:c r="H41" s="17" t="n">
        <x:v>5</x:v>
      </x:c>
    </x:row>
    <x:row r="42">
      <x:c r="A42" s="14" t="d">
        <x:v>2026-08-29T00:00:00.000Z</x:v>
      </x:c>
      <x:c r="B42" s="11" t="n">
        <x:v>3</x:v>
      </x:c>
      <x:c r="C42" s="11" t="n">
        <x:v>80</x:v>
      </x:c>
      <x:c r="D42" s="12" t="n">
        <x:v>0.0375</x:v>
      </x:c>
      <x:c r="E42" s="13" t="n">
        <x:v>9.6</x:v>
      </x:c>
      <x:c r="G42" s="1" t="str">
        <x:v>29 de ago</x:v>
      </x:c>
      <x:c r="H42" s="17" t="n">
        <x:v>3</x:v>
      </x:c>
    </x:row>
    <x:row r="43">
      <x:c r="A43" s="14" t="d">
        <x:v>2026-08-30T00:00:00.000Z</x:v>
      </x:c>
      <x:c r="B43" s="11" t="n">
        <x:v>2</x:v>
      </x:c>
      <x:c r="C43" s="11" t="n">
        <x:v>75</x:v>
      </x:c>
      <x:c r="D43" s="12" t="n">
        <x:v>0.026699999999999998</x:v>
      </x:c>
      <x:c r="E43" s="13" t="n">
        <x:v>9.6</x:v>
      </x:c>
      <x:c r="G43" s="1" t="str">
        <x:v>30 de ago</x:v>
      </x:c>
      <x:c r="H43" s="17" t="n">
        <x:v>2</x:v>
      </x:c>
    </x:row>
    <x:row r="44">
      <x:c r="A44" s="14" t="d">
        <x:v>2026-08-31T00:00:00.000Z</x:v>
      </x:c>
      <x:c r="B44" s="11" t="n">
        <x:v>4</x:v>
      </x:c>
      <x:c r="C44" s="11" t="n">
        <x:v>126</x:v>
      </x:c>
      <x:c r="D44" s="12" t="n">
        <x:v>0.0317</x:v>
      </x:c>
      <x:c r="E44" s="13" t="n">
        <x:v>6.6</x:v>
      </x:c>
      <x:c r="G44" s="1" t="str">
        <x:v>31 de ago</x:v>
      </x:c>
      <x:c r="H44" s="17" t="n">
        <x:v>4</x:v>
      </x:c>
    </x:row>
    <x:row r="45">
      <x:c r="A45" s="14" t="d">
        <x:v>2026-09-01T00:00:00.000Z</x:v>
      </x:c>
      <x:c r="B45" s="11" t="n">
        <x:v>5</x:v>
      </x:c>
      <x:c r="C45" s="11" t="n">
        <x:v>153</x:v>
      </x:c>
      <x:c r="D45" s="12" t="n">
        <x:v>0.0327</x:v>
      </x:c>
      <x:c r="E45" s="13" t="n">
        <x:v>6.9</x:v>
      </x:c>
      <x:c r="G45" s="1" t="str">
        <x:v>1 de sept</x:v>
      </x:c>
      <x:c r="H45" s="17" t="n">
        <x:v>5</x:v>
      </x:c>
    </x:row>
    <x:row r="46">
      <x:c r="A46" s="14" t="d">
        <x:v>2026-09-02T00:00:00.000Z</x:v>
      </x:c>
      <x:c r="B46" s="11" t="n">
        <x:v>9</x:v>
      </x:c>
      <x:c r="C46" s="11" t="n">
        <x:v>178</x:v>
      </x:c>
      <x:c r="D46" s="12" t="n">
        <x:v>0.0506</x:v>
      </x:c>
      <x:c r="E46" s="13" t="n">
        <x:v>6.9</x:v>
      </x:c>
      <x:c r="G46" s="1" t="str">
        <x:v>2 de sept</x:v>
      </x:c>
      <x:c r="H46" s="17" t="n">
        <x:v>9</x:v>
      </x:c>
    </x:row>
    <x:row r="47">
      <x:c r="A47" s="14" t="d">
        <x:v>2026-09-03T00:00:00.000Z</x:v>
      </x:c>
      <x:c r="B47" s="11" t="n">
        <x:v>6</x:v>
      </x:c>
      <x:c r="C47" s="11" t="n">
        <x:v>142</x:v>
      </x:c>
      <x:c r="D47" s="12" t="n">
        <x:v>0.042300000000000004</x:v>
      </x:c>
      <x:c r="E47" s="13" t="n">
        <x:v>8.8</x:v>
      </x:c>
      <x:c r="G47" s="1" t="str">
        <x:v>3 de sept</x:v>
      </x:c>
      <x:c r="H47" s="17" t="n">
        <x:v>6</x:v>
      </x:c>
    </x:row>
    <x:row r="48">
      <x:c r="A48" s="14" t="d">
        <x:v>2026-09-04T00:00:00.000Z</x:v>
      </x:c>
      <x:c r="B48" s="11" t="n">
        <x:v>5</x:v>
      </x:c>
      <x:c r="C48" s="11" t="n">
        <x:v>140</x:v>
      </x:c>
      <x:c r="D48" s="12" t="n">
        <x:v>0.035699999999999996</x:v>
      </x:c>
      <x:c r="E48" s="13" t="n">
        <x:v>7.2</x:v>
      </x:c>
      <x:c r="G48" s="1" t="str">
        <x:v>4 de sept</x:v>
      </x:c>
      <x:c r="H48" s="17" t="n">
        <x:v>5</x:v>
      </x:c>
    </x:row>
    <x:row r="49">
      <x:c r="A49" s="14" t="d">
        <x:v>2026-09-05T00:00:00.000Z</x:v>
      </x:c>
      <x:c r="B49" s="11" t="n">
        <x:v>5</x:v>
      </x:c>
      <x:c r="C49" s="11" t="n">
        <x:v>103</x:v>
      </x:c>
      <x:c r="D49" s="12" t="n">
        <x:v>0.048499999999999995</x:v>
      </x:c>
      <x:c r="E49" s="13" t="n">
        <x:v>10.5</x:v>
      </x:c>
      <x:c r="G49" s="1" t="str">
        <x:v>5 de sept</x:v>
      </x:c>
      <x:c r="H49" s="17" t="n">
        <x:v>5</x:v>
      </x:c>
    </x:row>
    <x:row r="50">
      <x:c r="A50" s="14" t="d">
        <x:v>2026-09-06T00:00:00.000Z</x:v>
      </x:c>
      <x:c r="B50" s="11" t="n">
        <x:v>5</x:v>
      </x:c>
      <x:c r="C50" s="11" t="n">
        <x:v>111</x:v>
      </x:c>
      <x:c r="D50" s="12" t="n">
        <x:v>0.045</x:v>
      </x:c>
      <x:c r="E50" s="13" t="n">
        <x:v>7.8</x:v>
      </x:c>
      <x:c r="G50" s="1" t="str">
        <x:v>6 de sept</x:v>
      </x:c>
      <x:c r="H50" s="17" t="n">
        <x:v>5</x:v>
      </x:c>
    </x:row>
    <x:row r="51">
      <x:c r="A51" s="14" t="d">
        <x:v>2026-09-07T00:00:00.000Z</x:v>
      </x:c>
      <x:c r="B51" s="11" t="n">
        <x:v>10</x:v>
      </x:c>
      <x:c r="C51" s="11" t="n">
        <x:v>203</x:v>
      </x:c>
      <x:c r="D51" s="12" t="n">
        <x:v>0.0493</x:v>
      </x:c>
      <x:c r="E51" s="13" t="n">
        <x:v>6.5</x:v>
      </x:c>
      <x:c r="G51" s="1" t="str">
        <x:v>7 de sept</x:v>
      </x:c>
      <x:c r="H51" s="17" t="n">
        <x:v>10</x:v>
      </x:c>
    </x:row>
    <x:row r="52">
      <x:c r="A52" s="14" t="d">
        <x:v>2026-09-08T00:00:00.000Z</x:v>
      </x:c>
      <x:c r="B52" s="11" t="n">
        <x:v>15</x:v>
      </x:c>
      <x:c r="C52" s="11" t="n">
        <x:v>185</x:v>
      </x:c>
      <x:c r="D52" s="12" t="n">
        <x:v>0.08109999999999999</x:v>
      </x:c>
      <x:c r="E52" s="13" t="n">
        <x:v>6.6</x:v>
      </x:c>
      <x:c r="G52" s="1" t="str">
        <x:v>8 de sept</x:v>
      </x:c>
      <x:c r="H52" s="17" t="n">
        <x:v>15</x:v>
      </x:c>
    </x:row>
    <x:row r="53">
      <x:c r="A53" s="14" t="d">
        <x:v>2026-09-09T00:00:00.000Z</x:v>
      </x:c>
      <x:c r="B53" s="11" t="n">
        <x:v>2</x:v>
      </x:c>
      <x:c r="C53" s="11" t="n">
        <x:v>162</x:v>
      </x:c>
      <x:c r="D53" s="12" t="n">
        <x:v>0.0123</x:v>
      </x:c>
      <x:c r="E53" s="13" t="n">
        <x:v>8.4</x:v>
      </x:c>
      <x:c r="G53" s="1" t="str">
        <x:v>9 de sept</x:v>
      </x:c>
      <x:c r="H53" s="17" t="n">
        <x:v>2</x:v>
      </x:c>
    </x:row>
    <x:row r="54">
      <x:c r="A54" s="14" t="d">
        <x:v>2026-09-10T00:00:00.000Z</x:v>
      </x:c>
      <x:c r="B54" s="11" t="n">
        <x:v>7</x:v>
      </x:c>
      <x:c r="C54" s="11" t="n">
        <x:v>237</x:v>
      </x:c>
      <x:c r="D54" s="12" t="n">
        <x:v>0.029500000000000002</x:v>
      </x:c>
      <x:c r="E54" s="13" t="n">
        <x:v>7.8</x:v>
      </x:c>
      <x:c r="G54" s="1" t="str">
        <x:v>10 de sept</x:v>
      </x:c>
      <x:c r="H54" s="17" t="n">
        <x:v>7</x:v>
      </x:c>
    </x:row>
    <x:row r="55">
      <x:c r="A55" s="14" t="d">
        <x:v>2026-09-11T00:00:00.000Z</x:v>
      </x:c>
      <x:c r="B55" s="11" t="n">
        <x:v>9</x:v>
      </x:c>
      <x:c r="C55" s="11" t="n">
        <x:v>275</x:v>
      </x:c>
      <x:c r="D55" s="12" t="n">
        <x:v>0.0327</x:v>
      </x:c>
      <x:c r="E55" s="13" t="n">
        <x:v>6.3</x:v>
      </x:c>
      <x:c r="G55" s="1" t="str">
        <x:v>11 de sept</x:v>
      </x:c>
      <x:c r="H55" s="17" t="n">
        <x:v>9</x:v>
      </x:c>
    </x:row>
    <x:row r="56">
      <x:c r="A56" s="14" t="d">
        <x:v>2026-09-12T00:00:00.000Z</x:v>
      </x:c>
      <x:c r="B56" s="11" t="n">
        <x:v>6</x:v>
      </x:c>
      <x:c r="C56" s="11" t="n">
        <x:v>192</x:v>
      </x:c>
      <x:c r="D56" s="12" t="n">
        <x:v>0.031200000000000002</x:v>
      </x:c>
      <x:c r="E56" s="13" t="n">
        <x:v>6.7</x:v>
      </x:c>
      <x:c r="G56" s="1" t="str">
        <x:v>12 de sept</x:v>
      </x:c>
      <x:c r="H56" s="17" t="n">
        <x:v>6</x:v>
      </x:c>
    </x:row>
    <x:row r="57">
      <x:c r="A57" s="14" t="d">
        <x:v>2026-09-13T00:00:00.000Z</x:v>
      </x:c>
      <x:c r="B57" s="11" t="n">
        <x:v>4</x:v>
      </x:c>
      <x:c r="C57" s="11" t="n">
        <x:v>198</x:v>
      </x:c>
      <x:c r="D57" s="12" t="n">
        <x:v>0.0202</x:v>
      </x:c>
      <x:c r="E57" s="13" t="n">
        <x:v>7.1</x:v>
      </x:c>
      <x:c r="G57" s="1" t="str">
        <x:v>13 de sept</x:v>
      </x:c>
      <x:c r="H57" s="17" t="n">
        <x:v>4</x:v>
      </x:c>
    </x:row>
    <x:row r="58">
      <x:c r="A58" s="14" t="d">
        <x:v>2026-09-14T00:00:00.000Z</x:v>
      </x:c>
      <x:c r="B58" s="11" t="n">
        <x:v>13</x:v>
      </x:c>
      <x:c r="C58" s="11" t="n">
        <x:v>341</x:v>
      </x:c>
      <x:c r="D58" s="12" t="n">
        <x:v>0.0381</x:v>
      </x:c>
      <x:c r="E58" s="13" t="n">
        <x:v>5.9</x:v>
      </x:c>
      <x:c r="G58" s="1" t="str">
        <x:v>14 de sept</x:v>
      </x:c>
      <x:c r="H58" s="17" t="n">
        <x:v>13</x:v>
      </x:c>
    </x:row>
    <x:row r="59">
      <x:c r="A59" s="14" t="d">
        <x:v>2026-09-15T00:00:00.000Z</x:v>
      </x:c>
      <x:c r="B59" s="11" t="n">
        <x:v>14</x:v>
      </x:c>
      <x:c r="C59" s="11" t="n">
        <x:v>356</x:v>
      </x:c>
      <x:c r="D59" s="12" t="n">
        <x:v>0.0393</x:v>
      </x:c>
      <x:c r="E59" s="13" t="n">
        <x:v>6.1</x:v>
      </x:c>
      <x:c r="G59" s="1" t="str">
        <x:v>15 de sept</x:v>
      </x:c>
      <x:c r="H59" s="17" t="n">
        <x:v>14</x:v>
      </x:c>
    </x:row>
    <x:row r="60">
      <x:c r="A60" s="14" t="d">
        <x:v>2026-09-16T00:00:00.000Z</x:v>
      </x:c>
      <x:c r="B60" s="11" t="n">
        <x:v>10</x:v>
      </x:c>
      <x:c r="C60" s="11" t="n">
        <x:v>327</x:v>
      </x:c>
      <x:c r="D60" s="12" t="n">
        <x:v>0.030600000000000002</x:v>
      </x:c>
      <x:c r="E60" s="13" t="n">
        <x:v>6.8</x:v>
      </x:c>
      <x:c r="G60" s="1" t="str">
        <x:v>16 de sept</x:v>
      </x:c>
      <x:c r="H60" s="17" t="n">
        <x:v>10</x:v>
      </x:c>
    </x:row>
    <x:row r="61">
      <x:c r="A61" s="14" t="d">
        <x:v>2026-09-17T00:00:00.000Z</x:v>
      </x:c>
      <x:c r="B61" s="11" t="n">
        <x:v>12</x:v>
      </x:c>
      <x:c r="C61" s="11" t="n">
        <x:v>347</x:v>
      </x:c>
      <x:c r="D61" s="12" t="n">
        <x:v>0.0346</x:v>
      </x:c>
      <x:c r="E61" s="13" t="n">
        <x:v>6.8</x:v>
      </x:c>
      <x:c r="G61" s="1" t="str">
        <x:v>17 de sept</x:v>
      </x:c>
      <x:c r="H61" s="17" t="n">
        <x:v>12</x:v>
      </x:c>
    </x:row>
    <x:row r="62">
      <x:c r="A62" s="14" t="d">
        <x:v>2026-09-18T00:00:00.000Z</x:v>
      </x:c>
      <x:c r="B62" s="11" t="n">
        <x:v>23</x:v>
      </x:c>
      <x:c r="C62" s="11" t="n">
        <x:v>343</x:v>
      </x:c>
      <x:c r="D62" s="12" t="n">
        <x:v>0.06709999999999999</x:v>
      </x:c>
      <x:c r="E62" s="13" t="n">
        <x:v>6.4</x:v>
      </x:c>
      <x:c r="G62" s="1" t="str">
        <x:v>18 de sept</x:v>
      </x:c>
      <x:c r="H62" s="17" t="n">
        <x:v>23</x:v>
      </x:c>
    </x:row>
    <x:row r="63">
      <x:c r="A63" s="14" t="d">
        <x:v>2026-09-19T00:00:00.000Z</x:v>
      </x:c>
      <x:c r="B63" s="11" t="n">
        <x:v>5</x:v>
      </x:c>
      <x:c r="C63" s="11" t="n">
        <x:v>212</x:v>
      </x:c>
      <x:c r="D63" s="12" t="n">
        <x:v>0.0236</x:v>
      </x:c>
      <x:c r="E63" s="13" t="n">
        <x:v>6.8</x:v>
      </x:c>
      <x:c r="G63" s="1" t="str">
        <x:v>19 de sept</x:v>
      </x:c>
      <x:c r="H63" s="17" t="n">
        <x:v>5</x:v>
      </x:c>
    </x:row>
    <x:row r="64">
      <x:c r="A64" s="14" t="d">
        <x:v>2026-09-20T00:00:00.000Z</x:v>
      </x:c>
      <x:c r="B64" s="11" t="n">
        <x:v>2</x:v>
      </x:c>
      <x:c r="C64" s="11" t="n">
        <x:v>187</x:v>
      </x:c>
      <x:c r="D64" s="12" t="n">
        <x:v>0.010700000000000001</x:v>
      </x:c>
      <x:c r="E64" s="13" t="n">
        <x:v>8.1</x:v>
      </x:c>
      <x:c r="G64" s="1" t="str">
        <x:v>20 de sept</x:v>
      </x:c>
      <x:c r="H64" s="17" t="n">
        <x:v>2</x:v>
      </x:c>
    </x:row>
    <x:row r="65">
      <x:c r="A65" s="14" t="d">
        <x:v>2026-09-21T00:00:00.000Z</x:v>
      </x:c>
      <x:c r="B65" s="11" t="n">
        <x:v>12</x:v>
      </x:c>
      <x:c r="C65" s="11" t="n">
        <x:v>259</x:v>
      </x:c>
      <x:c r="D65" s="12" t="n">
        <x:v>0.0463</x:v>
      </x:c>
      <x:c r="E65" s="13" t="n">
        <x:v>5.6</x:v>
      </x:c>
      <x:c r="G65" s="1" t="str">
        <x:v>21 de sept</x:v>
      </x:c>
      <x:c r="H65" s="17" t="n">
        <x:v>12</x:v>
      </x:c>
    </x:row>
    <x:row r="66">
      <x:c r="A66" s="14" t="d">
        <x:v>2026-09-22T00:00:00.000Z</x:v>
      </x:c>
      <x:c r="B66" s="11" t="n">
        <x:v>9</x:v>
      </x:c>
      <x:c r="C66" s="11" t="n">
        <x:v>318</x:v>
      </x:c>
      <x:c r="D66" s="12" t="n">
        <x:v>0.028300000000000002</x:v>
      </x:c>
      <x:c r="E66" s="13" t="n">
        <x:v>6.5</x:v>
      </x:c>
      <x:c r="G66" s="1" t="str">
        <x:v>22 de sept</x:v>
      </x:c>
      <x:c r="H66" s="17" t="n">
        <x:v>9</x:v>
      </x:c>
    </x:row>
    <x:row r="67">
      <x:c r="A67" s="14" t="d">
        <x:v>2026-09-23T00:00:00.000Z</x:v>
      </x:c>
      <x:c r="B67" s="11" t="n">
        <x:v>9</x:v>
      </x:c>
      <x:c r="C67" s="11" t="n">
        <x:v>260</x:v>
      </x:c>
      <x:c r="D67" s="12" t="n">
        <x:v>0.0346</x:v>
      </x:c>
      <x:c r="E67" s="13" t="n">
        <x:v>6.1</x:v>
      </x:c>
      <x:c r="G67" s="1" t="str">
        <x:v>23 de sept</x:v>
      </x:c>
      <x:c r="H67" s="17" t="n">
        <x:v>9</x:v>
      </x:c>
    </x:row>
    <x:row r="68">
      <x:c r="A68" s="14" t="d">
        <x:v>2026-09-24T00:00:00.000Z</x:v>
      </x:c>
      <x:c r="B68" s="11" t="n">
        <x:v>4</x:v>
      </x:c>
      <x:c r="C68" s="11" t="n">
        <x:v>247</x:v>
      </x:c>
      <x:c r="D68" s="12" t="n">
        <x:v>0.016200000000000003</x:v>
      </x:c>
      <x:c r="E68" s="13" t="n">
        <x:v>7.5</x:v>
      </x:c>
      <x:c r="G68" s="1" t="str">
        <x:v>24 de sept</x:v>
      </x:c>
      <x:c r="H68" s="17" t="n">
        <x:v>4</x:v>
      </x:c>
    </x:row>
    <x:row r="69">
      <x:c r="A69" s="14" t="d">
        <x:v>2026-09-25T00:00:00.000Z</x:v>
      </x:c>
      <x:c r="B69" s="11" t="n">
        <x:v>5</x:v>
      </x:c>
      <x:c r="C69" s="11" t="n">
        <x:v>212</x:v>
      </x:c>
      <x:c r="D69" s="12" t="n">
        <x:v>0.0236</x:v>
      </x:c>
      <x:c r="E69" s="13" t="n">
        <x:v>6.7</x:v>
      </x:c>
      <x:c r="G69" s="1" t="str">
        <x:v>25 de sept</x:v>
      </x:c>
      <x:c r="H69" s="17" t="n">
        <x:v>5</x:v>
      </x:c>
    </x:row>
    <x:row r="70">
      <x:c r="A70" s="14" t="d">
        <x:v>2026-09-26T00:00:00.000Z</x:v>
      </x:c>
      <x:c r="B70" s="11" t="n">
        <x:v>1</x:v>
      </x:c>
      <x:c r="C70" s="11" t="n">
        <x:v>162</x:v>
      </x:c>
      <x:c r="D70" s="12" t="n">
        <x:v>0.0062</x:v>
      </x:c>
      <x:c r="E70" s="13" t="n">
        <x:v>8.3</x:v>
      </x:c>
      <x:c r="G70" s="1" t="str">
        <x:v>26 de sept</x:v>
      </x:c>
      <x:c r="H70" s="17" t="n">
        <x:v>1</x:v>
      </x:c>
    </x:row>
    <x:row r="71">
      <x:c r="A71" s="14" t="d">
        <x:v>2026-09-27T00:00:00.000Z</x:v>
      </x:c>
      <x:c r="B71" s="11" t="n">
        <x:v>2</x:v>
      </x:c>
      <x:c r="C71" s="11" t="n">
        <x:v>174</x:v>
      </x:c>
      <x:c r="D71" s="12" t="n">
        <x:v>0.0115</x:v>
      </x:c>
      <x:c r="E71" s="13" t="n">
        <x:v>7.2</x:v>
      </x:c>
      <x:c r="G71" s="1" t="str">
        <x:v>27 de sept</x:v>
      </x:c>
      <x:c r="H71" s="17" t="n">
        <x:v>2</x:v>
      </x:c>
    </x:row>
    <x:row r="72">
      <x:c r="A72" s="14" t="d">
        <x:v>2026-09-28T00:00:00.000Z</x:v>
      </x:c>
      <x:c r="B72" s="11" t="n">
        <x:v>8</x:v>
      </x:c>
      <x:c r="C72" s="11" t="n">
        <x:v>293</x:v>
      </x:c>
      <x:c r="D72" s="12" t="n">
        <x:v>0.0273</x:v>
      </x:c>
      <x:c r="E72" s="13" t="n">
        <x:v>6.3</x:v>
      </x:c>
      <x:c r="G72" s="1" t="str">
        <x:v>28 de sept</x:v>
      </x:c>
      <x:c r="H72" s="17" t="n">
        <x:v>8</x:v>
      </x:c>
    </x:row>
    <x:row r="73">
      <x:c r="A73" s="14" t="d">
        <x:v>2026-09-29T00:00:00.000Z</x:v>
      </x:c>
      <x:c r="B73" s="11" t="n">
        <x:v>9</x:v>
      </x:c>
      <x:c r="C73" s="11" t="n">
        <x:v>250</x:v>
      </x:c>
      <x:c r="D73" s="12" t="n">
        <x:v>0.036000000000000004</x:v>
      </x:c>
      <x:c r="E73" s="13" t="n">
        <x:v>6.5</x:v>
      </x:c>
      <x:c r="G73" s="1" t="str">
        <x:v>29 de sept</x:v>
      </x:c>
      <x:c r="H73" s="17" t="n">
        <x:v>9</x:v>
      </x:c>
    </x:row>
    <x:row r="74">
      <x:c r="A74" s="14" t="d">
        <x:v>2026-09-30T00:00:00.000Z</x:v>
      </x:c>
      <x:c r="B74" s="11" t="n">
        <x:v>3</x:v>
      </x:c>
      <x:c r="C74" s="11" t="n">
        <x:v>267</x:v>
      </x:c>
      <x:c r="D74" s="12" t="n">
        <x:v>0.011200000000000002</x:v>
      </x:c>
      <x:c r="E74" s="13" t="n">
        <x:v>6.3</x:v>
      </x:c>
      <x:c r="G74" s="1" t="str">
        <x:v>30 de sept</x:v>
      </x:c>
      <x:c r="H74" s="17" t="n">
        <x:v>3</x:v>
      </x:c>
    </x:row>
    <x:row r="75">
      <x:c r="A75" s="14" t="d">
        <x:v>2026-10-01T00:00:00.000Z</x:v>
      </x:c>
      <x:c r="B75" s="11" t="n">
        <x:v>10</x:v>
      </x:c>
      <x:c r="C75" s="11" t="n">
        <x:v>252</x:v>
      </x:c>
      <x:c r="D75" s="12" t="n">
        <x:v>0.0397</x:v>
      </x:c>
      <x:c r="E75" s="13" t="n">
        <x:v>7.9</x:v>
      </x:c>
      <x:c r="G75" s="1" t="str">
        <x:v>1 de oct</x:v>
      </x:c>
      <x:c r="H75" s="17" t="n">
        <x:v>10</x:v>
      </x:c>
    </x:row>
    <x:row r="76">
      <x:c r="A76" s="14" t="d">
        <x:v>2026-10-02T00:00:00.000Z</x:v>
      </x:c>
      <x:c r="B76" s="11" t="n">
        <x:v>11</x:v>
      </x:c>
      <x:c r="C76" s="11" t="n">
        <x:v>219</x:v>
      </x:c>
      <x:c r="D76" s="12" t="n">
        <x:v>0.050199999999999995</x:v>
      </x:c>
      <x:c r="E76" s="13" t="n">
        <x:v>6</x:v>
      </x:c>
      <x:c r="G76" s="1" t="str">
        <x:v>2 de oct</x:v>
      </x:c>
      <x:c r="H76" s="17" t="n">
        <x:v>11</x:v>
      </x:c>
    </x:row>
    <x:row r="77">
      <x:c r="A77" s="14" t="d">
        <x:v>2026-10-03T00:00:00.000Z</x:v>
      </x:c>
      <x:c r="B77" s="11" t="n">
        <x:v>5</x:v>
      </x:c>
      <x:c r="C77" s="11" t="n">
        <x:v>170</x:v>
      </x:c>
      <x:c r="D77" s="12" t="n">
        <x:v>0.0294</x:v>
      </x:c>
      <x:c r="E77" s="13" t="n">
        <x:v>7.4</x:v>
      </x:c>
      <x:c r="G77" s="1" t="str">
        <x:v>3 de oct</x:v>
      </x:c>
      <x:c r="H77" s="17" t="n">
        <x:v>5</x:v>
      </x:c>
    </x:row>
    <x:row r="78">
      <x:c r="A78" s="14" t="d">
        <x:v>2026-10-04T00:00:00.000Z</x:v>
      </x:c>
      <x:c r="B78" s="11" t="n">
        <x:v>3</x:v>
      </x:c>
      <x:c r="C78" s="11" t="n">
        <x:v>151</x:v>
      </x:c>
      <x:c r="D78" s="12" t="n">
        <x:v>0.0199</x:v>
      </x:c>
      <x:c r="E78" s="13" t="n">
        <x:v>7.9</x:v>
      </x:c>
      <x:c r="G78" s="1" t="str">
        <x:v>4 de oct</x:v>
      </x:c>
      <x:c r="H78" s="17" t="n">
        <x:v>3</x:v>
      </x:c>
    </x:row>
    <x:row r="79">
      <x:c r="A79" s="14" t="d">
        <x:v>2026-10-05T00:00:00.000Z</x:v>
      </x:c>
      <x:c r="B79" s="11" t="n">
        <x:v>6</x:v>
      </x:c>
      <x:c r="C79" s="11" t="n">
        <x:v>227</x:v>
      </x:c>
      <x:c r="D79" s="12" t="n">
        <x:v>0.0264</x:v>
      </x:c>
      <x:c r="E79" s="13" t="n">
        <x:v>6.5</x:v>
      </x:c>
      <x:c r="G79" s="1" t="str">
        <x:v>5 de oct</x:v>
      </x:c>
      <x:c r="H79" s="17" t="n">
        <x:v>6</x:v>
      </x:c>
    </x:row>
    <x:row r="80">
      <x:c r="A80" s="14" t="d">
        <x:v>2026-10-06T00:00:00.000Z</x:v>
      </x:c>
      <x:c r="B80" s="11" t="n">
        <x:v>16</x:v>
      </x:c>
      <x:c r="C80" s="11" t="n">
        <x:v>288</x:v>
      </x:c>
      <x:c r="D80" s="12" t="n">
        <x:v>0.0556</x:v>
      </x:c>
      <x:c r="E80" s="13" t="n">
        <x:v>6.6</x:v>
      </x:c>
      <x:c r="G80" s="1" t="str">
        <x:v>6 de oct</x:v>
      </x:c>
      <x:c r="H80" s="17" t="n">
        <x:v>16</x:v>
      </x:c>
    </x:row>
    <x:row r="81">
      <x:c r="A81" s="14" t="d">
        <x:v>2026-10-07T00:00:00.000Z</x:v>
      </x:c>
      <x:c r="B81" s="11" t="n">
        <x:v>12</x:v>
      </x:c>
      <x:c r="C81" s="11" t="n">
        <x:v>314</x:v>
      </x:c>
      <x:c r="D81" s="12" t="n">
        <x:v>0.0382</x:v>
      </x:c>
      <x:c r="E81" s="13" t="n">
        <x:v>6.4</x:v>
      </x:c>
      <x:c r="G81" s="1" t="str">
        <x:v>7 de oct</x:v>
      </x:c>
      <x:c r="H81" s="17" t="n">
        <x:v>12</x:v>
      </x:c>
    </x:row>
    <x:row r="82">
      <x:c r="A82" s="14" t="d">
        <x:v>2026-10-08T00:00:00.000Z</x:v>
      </x:c>
      <x:c r="B82" s="11" t="n">
        <x:v>6</x:v>
      </x:c>
      <x:c r="C82" s="11" t="n">
        <x:v>265</x:v>
      </x:c>
      <x:c r="D82" s="12" t="n">
        <x:v>0.0226</x:v>
      </x:c>
      <x:c r="E82" s="13" t="n">
        <x:v>7.6</x:v>
      </x:c>
      <x:c r="G82" s="1" t="str">
        <x:v>8 de oct</x:v>
      </x:c>
      <x:c r="H82" s="17" t="n">
        <x:v>6</x:v>
      </x:c>
    </x:row>
    <x:row r="83">
      <x:c r="A83" s="14" t="d">
        <x:v>2026-10-09T00:00:00.000Z</x:v>
      </x:c>
      <x:c r="B83" s="11" t="n">
        <x:v>7</x:v>
      </x:c>
      <x:c r="C83" s="11" t="n">
        <x:v>246</x:v>
      </x:c>
      <x:c r="D83" s="12" t="n">
        <x:v>0.0285</x:v>
      </x:c>
      <x:c r="E83" s="13" t="n">
        <x:v>7.8</x:v>
      </x:c>
      <x:c r="G83" s="1" t="str">
        <x:v>9 de oct</x:v>
      </x:c>
      <x:c r="H83" s="17" t="n">
        <x:v>7</x:v>
      </x:c>
    </x:row>
    <x:row r="84">
      <x:c r="A84" s="14" t="d">
        <x:v>2026-10-10T00:00:00.000Z</x:v>
      </x:c>
      <x:c r="B84" s="11" t="n">
        <x:v>0</x:v>
      </x:c>
      <x:c r="C84" s="11" t="n">
        <x:v>189</x:v>
      </x:c>
      <x:c r="D84" s="12" t="n">
        <x:v>0</x:v>
      </x:c>
      <x:c r="E84" s="13" t="n">
        <x:v>8.1</x:v>
      </x:c>
      <x:c r="G84" s="1" t="str">
        <x:v>10 de oct</x:v>
      </x:c>
      <x:c r="H84" s="17" t="n">
        <x:v>0</x:v>
      </x:c>
    </x:row>
    <x:row r="85">
      <x:c r="A85" s="14" t="d">
        <x:v>2026-10-11T00:00:00.000Z</x:v>
      </x:c>
      <x:c r="B85" s="11" t="n">
        <x:v>1</x:v>
      </x:c>
      <x:c r="C85" s="11" t="n">
        <x:v>174</x:v>
      </x:c>
      <x:c r="D85" s="12" t="n">
        <x:v>0.005699999999999999</x:v>
      </x:c>
      <x:c r="E85" s="13" t="n">
        <x:v>8.3</x:v>
      </x:c>
      <x:c r="G85" s="1" t="str">
        <x:v>11 de oct</x:v>
      </x:c>
      <x:c r="H85" s="17" t="n">
        <x:v>1</x:v>
      </x:c>
    </x:row>
    <x:row r="86">
      <x:c r="A86" s="14" t="d">
        <x:v>2026-10-12T00:00:00.000Z</x:v>
      </x:c>
      <x:c r="B86" s="11" t="n">
        <x:v>3</x:v>
      </x:c>
      <x:c r="C86" s="11" t="n">
        <x:v>206</x:v>
      </x:c>
      <x:c r="D86" s="12" t="n">
        <x:v>0.0146</x:v>
      </x:c>
      <x:c r="E86" s="13" t="n">
        <x:v>7.2</x:v>
      </x:c>
      <x:c r="G86" s="1" t="str">
        <x:v>12 de oct</x:v>
      </x:c>
      <x:c r="H86" s="17" t="n">
        <x:v>3</x:v>
      </x:c>
    </x:row>
    <x:row r="87">
      <x:c r="A87" s="14" t="d">
        <x:v>2026-10-13T00:00:00.000Z</x:v>
      </x:c>
      <x:c r="B87" s="11" t="n">
        <x:v>15</x:v>
      </x:c>
      <x:c r="C87" s="11" t="n">
        <x:v>340</x:v>
      </x:c>
      <x:c r="D87" s="12" t="n">
        <x:v>0.0441</x:v>
      </x:c>
      <x:c r="E87" s="13" t="n">
        <x:v>6</x:v>
      </x:c>
      <x:c r="G87" s="1" t="str">
        <x:v>13 de oct</x:v>
      </x:c>
      <x:c r="H87" s="17" t="n">
        <x:v>15</x:v>
      </x:c>
    </x:row>
    <x:row r="88">
      <x:c r="A88" s="14" t="d">
        <x:v>2026-10-14T00:00:00.000Z</x:v>
      </x:c>
      <x:c r="B88" s="11" t="n">
        <x:v>8</x:v>
      </x:c>
      <x:c r="C88" s="11" t="n">
        <x:v>327</x:v>
      </x:c>
      <x:c r="D88" s="12" t="n">
        <x:v>0.0245</x:v>
      </x:c>
      <x:c r="E88" s="13" t="n">
        <x:v>6.8</x:v>
      </x:c>
      <x:c r="G88" s="1" t="str">
        <x:v>14 de oct</x:v>
      </x:c>
      <x:c r="H88" s="17" t="n">
        <x:v>8</x:v>
      </x:c>
    </x:row>
    <x:row r="89">
      <x:c r="A89" s="14" t="d">
        <x:v>2026-10-15T00:00:00.000Z</x:v>
      </x:c>
      <x:c r="B89" s="11" t="n">
        <x:v>3</x:v>
      </x:c>
      <x:c r="C89" s="11" t="n">
        <x:v>319</x:v>
      </x:c>
      <x:c r="D89" s="12" t="n">
        <x:v>0.009399999999999999</x:v>
      </x:c>
      <x:c r="E89" s="13" t="n">
        <x:v>7.4</x:v>
      </x:c>
      <x:c r="G89" s="1" t="str">
        <x:v>15 de oct</x:v>
      </x:c>
      <x:c r="H89" s="17" t="n">
        <x:v>3</x:v>
      </x:c>
    </x:row>
    <x:row r="90">
      <x:c r="A90" s="14" t="d">
        <x:v>2026-10-16T00:00:00.000Z</x:v>
      </x:c>
      <x:c r="B90" s="11" t="n">
        <x:v>7</x:v>
      </x:c>
      <x:c r="C90" s="11" t="n">
        <x:v>285</x:v>
      </x:c>
      <x:c r="D90" s="12" t="n">
        <x:v>0.0246</x:v>
      </x:c>
      <x:c r="E90" s="13" t="n">
        <x:v>6.6</x:v>
      </x:c>
      <x:c r="G90" s="1" t="str">
        <x:v>16 de oct</x:v>
      </x:c>
      <x:c r="H90" s="17" t="n">
        <x:v>7</x:v>
      </x:c>
    </x:row>
    <x:row r="91">
      <x:c r="A91" s="14" t="d">
        <x:v>2026-10-17T00:00:00.000Z</x:v>
      </x:c>
      <x:c r="B91" s="11" t="n">
        <x:v>7</x:v>
      </x:c>
      <x:c r="C91" s="11" t="n">
        <x:v>225</x:v>
      </x:c>
      <x:c r="D91" s="12" t="n">
        <x:v>0.0311</x:v>
      </x:c>
      <x:c r="E91" s="13" t="n">
        <x:v>6.9</x:v>
      </x:c>
      <x:c r="G91" s="1" t="str">
        <x:v>17 de oct</x:v>
      </x:c>
      <x:c r="H91" s="17" t="n">
        <x:v>7</x:v>
      </x:c>
    </x:row>
    <x:row r="92">
      <x:c r="A92" s="14" t="d">
        <x:v>2026-10-18T00:00:00.000Z</x:v>
      </x:c>
      <x:c r="B92" s="11" t="n">
        <x:v>2</x:v>
      </x:c>
      <x:c r="C92" s="11" t="n">
        <x:v>213</x:v>
      </x:c>
      <x:c r="D92" s="12" t="n">
        <x:v>0.009399999999999999</x:v>
      </x:c>
      <x:c r="E92" s="13" t="n">
        <x:v>8.2</x:v>
      </x:c>
      <x:c r="G92" s="1" t="str">
        <x:v>18 de oct</x:v>
      </x:c>
      <x:c r="H92" s="17" t="n">
        <x:v>2</x:v>
      </x:c>
    </x:row>
    <x:row r="93">
      <x:c r="A93" s="14" t="d">
        <x:v>2026-10-19T00:00:00.000Z</x:v>
      </x:c>
      <x:c r="B93" s="11" t="n">
        <x:v>9</x:v>
      </x:c>
      <x:c r="C93" s="11" t="n">
        <x:v>318</x:v>
      </x:c>
      <x:c r="D93" s="12" t="n">
        <x:v>0.028300000000000002</x:v>
      </x:c>
      <x:c r="E93" s="13" t="n">
        <x:v>6.2</x:v>
      </x:c>
      <x:c r="G93" s="1" t="str">
        <x:v>19 de oct</x:v>
      </x:c>
      <x:c r="H93" s="17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a9e4569212d24864"/>
  </x:tableParts>
</x:worksheet>
</file>